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ink/ink1.xml" ContentType="application/inkml+xml"/>
  <Override PartName="/xl/drawings/drawing2.xml" ContentType="application/vnd.openxmlformats-officedocument.drawing+xml"/>
  <Override PartName="/xl/ink/ink2.xml" ContentType="application/inkml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ink/ink3.xml" ContentType="application/inkml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vanjays/Desktop/Programming/Nalco/coc_proj/coc_analyzer/"/>
    </mc:Choice>
  </mc:AlternateContent>
  <xr:revisionPtr revIDLastSave="0" documentId="13_ncr:1_{2DF12F05-BEF3-CC4A-9D0A-D97B61103EF2}" xr6:coauthVersionLast="47" xr6:coauthVersionMax="47" xr10:uidLastSave="{00000000-0000-0000-0000-000000000000}"/>
  <bookViews>
    <workbookView xWindow="0" yWindow="460" windowWidth="28800" windowHeight="17540" activeTab="3" xr2:uid="{C624FC24-3C9F-4116-9071-D4D1C0B522A2}"/>
  </bookViews>
  <sheets>
    <sheet name="COC" sheetId="1" r:id="rId1"/>
    <sheet name="LIMS Data Entry" sheetId="2" r:id="rId2"/>
    <sheet name="RollupWkSht" sheetId="3" r:id="rId3"/>
    <sheet name="DV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6" i="1" l="1"/>
  <c r="E11" i="2"/>
  <c r="E10" i="2"/>
  <c r="E9" i="2"/>
  <c r="E8" i="2"/>
  <c r="E7" i="2"/>
  <c r="E6" i="2"/>
  <c r="E5" i="2"/>
  <c r="E4" i="2"/>
  <c r="E3" i="2"/>
  <c r="E2" i="2"/>
  <c r="D15" i="2"/>
  <c r="D14" i="2"/>
  <c r="D3" i="2"/>
  <c r="D2" i="2"/>
  <c r="E15" i="2" l="1"/>
  <c r="E14" i="2"/>
  <c r="E13" i="2"/>
  <c r="E12" i="2"/>
  <c r="L8" i="1"/>
  <c r="L6" i="1"/>
  <c r="I8" i="1"/>
  <c r="I10" i="1"/>
  <c r="B3" i="2"/>
  <c r="B4" i="2"/>
  <c r="B5" i="2"/>
  <c r="B6" i="2"/>
  <c r="B7" i="2"/>
  <c r="B2" i="2"/>
  <c r="B16" i="2"/>
  <c r="B17" i="2"/>
  <c r="B18" i="2"/>
  <c r="B19" i="2"/>
  <c r="B20" i="2"/>
  <c r="B21" i="2"/>
  <c r="B22" i="2"/>
  <c r="B36" i="1"/>
  <c r="B23" i="2" s="1"/>
  <c r="B37" i="1"/>
  <c r="B24" i="2" s="1"/>
  <c r="B38" i="1"/>
  <c r="B25" i="2" s="1"/>
  <c r="B39" i="1"/>
  <c r="B26" i="2" s="1"/>
  <c r="B40" i="1"/>
  <c r="B27" i="2" s="1"/>
  <c r="B41" i="1"/>
  <c r="B28" i="2" s="1"/>
  <c r="B42" i="1"/>
  <c r="B29" i="2" s="1"/>
  <c r="B43" i="1"/>
  <c r="B30" i="2" s="1"/>
  <c r="B44" i="1"/>
  <c r="B31" i="2" s="1"/>
  <c r="B45" i="1"/>
  <c r="B32" i="2" s="1"/>
  <c r="B46" i="1"/>
  <c r="B33" i="2" s="1"/>
  <c r="B47" i="1"/>
  <c r="B34" i="2" s="1"/>
  <c r="B48" i="1"/>
  <c r="B35" i="2" s="1"/>
  <c r="B49" i="1"/>
  <c r="B36" i="2" s="1"/>
  <c r="B50" i="1"/>
  <c r="B37" i="2" s="1"/>
  <c r="B51" i="1"/>
  <c r="B38" i="2" s="1"/>
  <c r="B52" i="1"/>
  <c r="B39" i="2" s="1"/>
  <c r="B53" i="1"/>
  <c r="B40" i="2" s="1"/>
  <c r="B54" i="1"/>
  <c r="B41" i="2" s="1"/>
  <c r="B55" i="1"/>
  <c r="B42" i="2" s="1"/>
  <c r="B56" i="1"/>
  <c r="B43" i="2" s="1"/>
  <c r="B57" i="1"/>
  <c r="B44" i="2" s="1"/>
  <c r="B58" i="1"/>
  <c r="B45" i="2" s="1"/>
  <c r="B59" i="1"/>
  <c r="B46" i="2" s="1"/>
  <c r="B60" i="1"/>
  <c r="B47" i="2" s="1"/>
  <c r="B61" i="1"/>
  <c r="B48" i="2" s="1"/>
  <c r="B62" i="1"/>
  <c r="B49" i="2" s="1"/>
  <c r="B63" i="1"/>
  <c r="B50" i="2" s="1"/>
  <c r="B64" i="1"/>
  <c r="B51" i="2" s="1"/>
  <c r="B65" i="1"/>
  <c r="B52" i="2" s="1"/>
  <c r="B66" i="1"/>
  <c r="B53" i="2" s="1"/>
  <c r="B67" i="1"/>
  <c r="B54" i="2" s="1"/>
  <c r="B68" i="1"/>
  <c r="B55" i="2" s="1"/>
  <c r="B69" i="1"/>
  <c r="B56" i="2" s="1"/>
  <c r="B70" i="1"/>
  <c r="B57" i="2" s="1"/>
  <c r="B71" i="1"/>
  <c r="B58" i="2" s="1"/>
  <c r="B72" i="1"/>
  <c r="B59" i="2" s="1"/>
  <c r="B73" i="1"/>
  <c r="B60" i="2" s="1"/>
  <c r="B74" i="1"/>
  <c r="B61" i="2" s="1"/>
  <c r="B75" i="1"/>
  <c r="B62" i="2" s="1"/>
  <c r="B76" i="1"/>
  <c r="B63" i="2" s="1"/>
  <c r="B77" i="1"/>
  <c r="B64" i="2" s="1"/>
  <c r="B78" i="1"/>
  <c r="B65" i="2" s="1"/>
  <c r="B79" i="1"/>
  <c r="B66" i="2" s="1"/>
  <c r="B80" i="1"/>
  <c r="B67" i="2" s="1"/>
  <c r="B81" i="1"/>
  <c r="B68" i="2" s="1"/>
  <c r="B82" i="1"/>
  <c r="B69" i="2" s="1"/>
  <c r="B83" i="1"/>
  <c r="B70" i="2" s="1"/>
  <c r="B84" i="1"/>
  <c r="B71" i="2" s="1"/>
  <c r="B85" i="1"/>
  <c r="B72" i="2" s="1"/>
  <c r="B86" i="1"/>
  <c r="B73" i="2" s="1"/>
  <c r="B87" i="1"/>
  <c r="B74" i="2" s="1"/>
  <c r="B88" i="1"/>
  <c r="B75" i="2" s="1"/>
  <c r="B89" i="1"/>
  <c r="B76" i="2" s="1"/>
  <c r="B90" i="1"/>
  <c r="B77" i="2" s="1"/>
  <c r="B91" i="1"/>
  <c r="B78" i="2" s="1"/>
  <c r="B92" i="1"/>
  <c r="B79" i="2" s="1"/>
  <c r="B93" i="1"/>
  <c r="B80" i="2" s="1"/>
  <c r="B94" i="1"/>
  <c r="B81" i="2" s="1"/>
  <c r="B95" i="1"/>
  <c r="B82" i="2" s="1"/>
  <c r="B96" i="1"/>
  <c r="B83" i="2" s="1"/>
  <c r="B97" i="1"/>
  <c r="B84" i="2" s="1"/>
  <c r="B98" i="1"/>
  <c r="B85" i="2" s="1"/>
  <c r="B99" i="1"/>
  <c r="B86" i="2" s="1"/>
  <c r="B100" i="1"/>
  <c r="B87" i="2" s="1"/>
  <c r="B101" i="1"/>
  <c r="B88" i="2" s="1"/>
  <c r="B102" i="1"/>
  <c r="B89" i="2" s="1"/>
  <c r="B103" i="1"/>
  <c r="B90" i="2" s="1"/>
  <c r="B104" i="1"/>
  <c r="B91" i="2" s="1"/>
  <c r="B105" i="1"/>
  <c r="B92" i="2" s="1"/>
  <c r="B106" i="1"/>
  <c r="B93" i="2" s="1"/>
  <c r="B107" i="1"/>
  <c r="B94" i="2" s="1"/>
  <c r="B108" i="1"/>
  <c r="B95" i="2" s="1"/>
  <c r="B109" i="1"/>
  <c r="B96" i="2" s="1"/>
  <c r="B110" i="1"/>
  <c r="B97" i="2" s="1"/>
  <c r="B111" i="1"/>
  <c r="B98" i="2" s="1"/>
  <c r="B112" i="1"/>
  <c r="B99" i="2" s="1"/>
  <c r="B113" i="1"/>
  <c r="B100" i="2" s="1"/>
  <c r="B114" i="1"/>
  <c r="B101" i="2" s="1"/>
  <c r="B115" i="1"/>
  <c r="B102" i="2" s="1"/>
  <c r="B116" i="1"/>
  <c r="B103" i="2" s="1"/>
  <c r="B117" i="1"/>
  <c r="B104" i="2" s="1"/>
  <c r="B118" i="1"/>
  <c r="B105" i="2" s="1"/>
  <c r="B119" i="1"/>
  <c r="B106" i="2" s="1"/>
  <c r="B120" i="1"/>
  <c r="B107" i="2" s="1"/>
  <c r="B121" i="1"/>
  <c r="B108" i="2" s="1"/>
  <c r="B122" i="1"/>
  <c r="B109" i="2" s="1"/>
  <c r="B123" i="1"/>
  <c r="B110" i="2" s="1"/>
  <c r="B124" i="1"/>
  <c r="B111" i="2" s="1"/>
  <c r="B125" i="1"/>
  <c r="B112" i="2" s="1"/>
  <c r="B126" i="1"/>
  <c r="B113" i="2" s="1"/>
  <c r="B127" i="1"/>
  <c r="B114" i="2" s="1"/>
  <c r="B128" i="1"/>
  <c r="B115" i="2" s="1"/>
  <c r="B129" i="1"/>
  <c r="B116" i="2" s="1"/>
  <c r="B130" i="1"/>
  <c r="B117" i="2" s="1"/>
  <c r="B131" i="1"/>
  <c r="B118" i="2" s="1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X48" i="3" s="1"/>
  <c r="Y48" i="3" s="1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2" i="3"/>
  <c r="V2" i="3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2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I2" i="3"/>
  <c r="I3" i="3"/>
  <c r="I4" i="3"/>
  <c r="I5" i="3"/>
  <c r="K5" i="3" s="1"/>
  <c r="I6" i="3"/>
  <c r="I7" i="3"/>
  <c r="I8" i="3"/>
  <c r="I9" i="3"/>
  <c r="I10" i="3"/>
  <c r="I11" i="3"/>
  <c r="I12" i="3"/>
  <c r="I13" i="3"/>
  <c r="I14" i="3"/>
  <c r="O14" i="3" s="1"/>
  <c r="I15" i="3"/>
  <c r="K15" i="3" s="1"/>
  <c r="I16" i="3"/>
  <c r="I17" i="3"/>
  <c r="O17" i="3" s="1"/>
  <c r="I18" i="3"/>
  <c r="O18" i="3" s="1"/>
  <c r="I19" i="3"/>
  <c r="I20" i="3"/>
  <c r="O20" i="3" s="1"/>
  <c r="I21" i="3"/>
  <c r="J21" i="3" s="1"/>
  <c r="I22" i="3"/>
  <c r="J22" i="3" s="1"/>
  <c r="I23" i="3"/>
  <c r="O23" i="3" s="1"/>
  <c r="I24" i="3"/>
  <c r="O24" i="3" s="1"/>
  <c r="I25" i="3"/>
  <c r="J25" i="3" s="1"/>
  <c r="I26" i="3"/>
  <c r="O26" i="3" s="1"/>
  <c r="I27" i="3"/>
  <c r="J27" i="3" s="1"/>
  <c r="I28" i="3"/>
  <c r="J28" i="3" s="1"/>
  <c r="I29" i="3"/>
  <c r="N29" i="3" s="1"/>
  <c r="I30" i="3"/>
  <c r="I31" i="3"/>
  <c r="N31" i="3" s="1"/>
  <c r="I32" i="3"/>
  <c r="O32" i="3" s="1"/>
  <c r="I33" i="3"/>
  <c r="N33" i="3" s="1"/>
  <c r="I34" i="3"/>
  <c r="I35" i="3"/>
  <c r="I36" i="3"/>
  <c r="J36" i="3" s="1"/>
  <c r="I37" i="3"/>
  <c r="N37" i="3" s="1"/>
  <c r="I38" i="3"/>
  <c r="J38" i="3" s="1"/>
  <c r="I39" i="3"/>
  <c r="O39" i="3" s="1"/>
  <c r="I40" i="3"/>
  <c r="O40" i="3" s="1"/>
  <c r="I41" i="3"/>
  <c r="O41" i="3" s="1"/>
  <c r="I42" i="3"/>
  <c r="K42" i="3" s="1"/>
  <c r="I43" i="3"/>
  <c r="K43" i="3" s="1"/>
  <c r="I44" i="3"/>
  <c r="O44" i="3" s="1"/>
  <c r="I45" i="3"/>
  <c r="O45" i="3" s="1"/>
  <c r="I46" i="3"/>
  <c r="J46" i="3" s="1"/>
  <c r="I47" i="3"/>
  <c r="O47" i="3" s="1"/>
  <c r="I48" i="3"/>
  <c r="J48" i="3" s="1"/>
  <c r="I49" i="3"/>
  <c r="J49" i="3" s="1"/>
  <c r="I50" i="3"/>
  <c r="N50" i="3" s="1"/>
  <c r="I51" i="3"/>
  <c r="N51" i="3" s="1"/>
  <c r="I52" i="3"/>
  <c r="I53" i="3"/>
  <c r="O53" i="3" s="1"/>
  <c r="I54" i="3"/>
  <c r="O54" i="3" s="1"/>
  <c r="I55" i="3"/>
  <c r="N55" i="3" s="1"/>
  <c r="I56" i="3"/>
  <c r="I57" i="3"/>
  <c r="I58" i="3"/>
  <c r="O58" i="3" s="1"/>
  <c r="I59" i="3"/>
  <c r="K59" i="3" s="1"/>
  <c r="I60" i="3"/>
  <c r="O60" i="3" s="1"/>
  <c r="I61" i="3"/>
  <c r="N61" i="3" s="1"/>
  <c r="I62" i="3"/>
  <c r="O62" i="3" s="1"/>
  <c r="I63" i="3"/>
  <c r="K63" i="3" s="1"/>
  <c r="I64" i="3"/>
  <c r="J64" i="3" s="1"/>
  <c r="I65" i="3"/>
  <c r="N65" i="3" s="1"/>
  <c r="I66" i="3"/>
  <c r="N66" i="3" s="1"/>
  <c r="I67" i="3"/>
  <c r="N67" i="3" s="1"/>
  <c r="I68" i="3"/>
  <c r="K68" i="3" s="1"/>
  <c r="I69" i="3"/>
  <c r="I70" i="3"/>
  <c r="N70" i="3" s="1"/>
  <c r="I71" i="3"/>
  <c r="J71" i="3" s="1"/>
  <c r="I72" i="3"/>
  <c r="N72" i="3" s="1"/>
  <c r="I73" i="3"/>
  <c r="N73" i="3" s="1"/>
  <c r="I74" i="3"/>
  <c r="J74" i="3" s="1"/>
  <c r="I75" i="3"/>
  <c r="O75" i="3" s="1"/>
  <c r="I76" i="3"/>
  <c r="N76" i="3" s="1"/>
  <c r="I77" i="3"/>
  <c r="N77" i="3" s="1"/>
  <c r="I78" i="3"/>
  <c r="J78" i="3" s="1"/>
  <c r="I79" i="3"/>
  <c r="K79" i="3" s="1"/>
  <c r="I80" i="3"/>
  <c r="O80" i="3" s="1"/>
  <c r="I81" i="3"/>
  <c r="I82" i="3"/>
  <c r="K82" i="3" s="1"/>
  <c r="I83" i="3"/>
  <c r="J83" i="3" s="1"/>
  <c r="I84" i="3"/>
  <c r="O84" i="3" s="1"/>
  <c r="I85" i="3"/>
  <c r="K85" i="3" s="1"/>
  <c r="I86" i="3"/>
  <c r="K86" i="3" s="1"/>
  <c r="I87" i="3"/>
  <c r="N87" i="3" s="1"/>
  <c r="I88" i="3"/>
  <c r="J88" i="3" s="1"/>
  <c r="I89" i="3"/>
  <c r="N89" i="3" s="1"/>
  <c r="I90" i="3"/>
  <c r="O90" i="3" s="1"/>
  <c r="I91" i="3"/>
  <c r="O91" i="3" s="1"/>
  <c r="I92" i="3"/>
  <c r="J92" i="3" s="1"/>
  <c r="I93" i="3"/>
  <c r="I94" i="3"/>
  <c r="O94" i="3" s="1"/>
  <c r="I95" i="3"/>
  <c r="K95" i="3" s="1"/>
  <c r="I96" i="3"/>
  <c r="N96" i="3" s="1"/>
  <c r="I97" i="3"/>
  <c r="I98" i="3"/>
  <c r="K98" i="3" s="1"/>
  <c r="I99" i="3"/>
  <c r="O99" i="3" s="1"/>
  <c r="I100" i="3"/>
  <c r="N100" i="3" s="1"/>
  <c r="I101" i="3"/>
  <c r="N101" i="3" s="1"/>
  <c r="I102" i="3"/>
  <c r="N102" i="3" s="1"/>
  <c r="I103" i="3"/>
  <c r="O103" i="3" s="1"/>
  <c r="I104" i="3"/>
  <c r="J104" i="3" s="1"/>
  <c r="I105" i="3"/>
  <c r="N105" i="3" s="1"/>
  <c r="I106" i="3"/>
  <c r="I107" i="3"/>
  <c r="O107" i="3" s="1"/>
  <c r="I108" i="3"/>
  <c r="N108" i="3" s="1"/>
  <c r="I109" i="3"/>
  <c r="N109" i="3" s="1"/>
  <c r="I110" i="3"/>
  <c r="J110" i="3" s="1"/>
  <c r="I111" i="3"/>
  <c r="N111" i="3" s="1"/>
  <c r="I112" i="3"/>
  <c r="J112" i="3" s="1"/>
  <c r="I113" i="3"/>
  <c r="N113" i="3" s="1"/>
  <c r="I114" i="3"/>
  <c r="J114" i="3" s="1"/>
  <c r="I115" i="3"/>
  <c r="J115" i="3" s="1"/>
  <c r="I116" i="3"/>
  <c r="K116" i="3" s="1"/>
  <c r="I117" i="3"/>
  <c r="K117" i="3" s="1"/>
  <c r="I118" i="3"/>
  <c r="K118" i="3" s="1"/>
  <c r="I119" i="3"/>
  <c r="J119" i="3" s="1"/>
  <c r="I120" i="3"/>
  <c r="K120" i="3" s="1"/>
  <c r="N58" i="3"/>
  <c r="K113" i="3"/>
  <c r="J65" i="3"/>
  <c r="J105" i="3"/>
  <c r="K81" i="3"/>
  <c r="O34" i="3"/>
  <c r="K51" i="3"/>
  <c r="J43" i="3"/>
  <c r="N18" i="3"/>
  <c r="J26" i="3"/>
  <c r="C119" i="3"/>
  <c r="C120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2" i="3"/>
  <c r="C3" i="3"/>
  <c r="C4" i="3"/>
  <c r="C5" i="3"/>
  <c r="C6" i="3"/>
  <c r="C7" i="3"/>
  <c r="C8" i="3"/>
  <c r="C9" i="3"/>
  <c r="C10" i="3"/>
  <c r="C11" i="3"/>
  <c r="C12" i="3"/>
  <c r="C13" i="3"/>
  <c r="O27" i="1"/>
  <c r="C14" i="3" s="1"/>
  <c r="O28" i="1"/>
  <c r="C15" i="3" s="1"/>
  <c r="O29" i="1"/>
  <c r="C16" i="3" s="1"/>
  <c r="O30" i="1"/>
  <c r="C17" i="3" s="1"/>
  <c r="O31" i="1"/>
  <c r="C18" i="3" s="1"/>
  <c r="O32" i="1"/>
  <c r="C19" i="3" s="1"/>
  <c r="O33" i="1"/>
  <c r="C20" i="3" s="1"/>
  <c r="O34" i="1"/>
  <c r="C21" i="3" s="1"/>
  <c r="O35" i="1"/>
  <c r="C22" i="3" s="1"/>
  <c r="O36" i="1"/>
  <c r="C23" i="3" s="1"/>
  <c r="O37" i="1"/>
  <c r="C24" i="3" s="1"/>
  <c r="O38" i="1"/>
  <c r="C25" i="3" s="1"/>
  <c r="O39" i="1"/>
  <c r="C26" i="3" s="1"/>
  <c r="O40" i="1"/>
  <c r="C27" i="3" s="1"/>
  <c r="O41" i="1"/>
  <c r="C28" i="3" s="1"/>
  <c r="O42" i="1"/>
  <c r="C29" i="3" s="1"/>
  <c r="O43" i="1"/>
  <c r="C30" i="3" s="1"/>
  <c r="O44" i="1"/>
  <c r="C31" i="3" s="1"/>
  <c r="O45" i="1"/>
  <c r="C32" i="3" s="1"/>
  <c r="O46" i="1"/>
  <c r="C33" i="3" s="1"/>
  <c r="O47" i="1"/>
  <c r="C34" i="3" s="1"/>
  <c r="O48" i="1"/>
  <c r="C35" i="3" s="1"/>
  <c r="O49" i="1"/>
  <c r="C36" i="3" s="1"/>
  <c r="O50" i="1"/>
  <c r="C37" i="3" s="1"/>
  <c r="O51" i="1"/>
  <c r="C38" i="3" s="1"/>
  <c r="O52" i="1"/>
  <c r="C39" i="3" s="1"/>
  <c r="O53" i="1"/>
  <c r="C40" i="3" s="1"/>
  <c r="O54" i="1"/>
  <c r="C41" i="3" s="1"/>
  <c r="O55" i="1"/>
  <c r="C42" i="3" s="1"/>
  <c r="O56" i="1"/>
  <c r="C43" i="3" s="1"/>
  <c r="O57" i="1"/>
  <c r="C44" i="3" s="1"/>
  <c r="O58" i="1"/>
  <c r="C45" i="3" s="1"/>
  <c r="O59" i="1"/>
  <c r="C46" i="3" s="1"/>
  <c r="O60" i="1"/>
  <c r="C47" i="3" s="1"/>
  <c r="O61" i="1"/>
  <c r="C48" i="3" s="1"/>
  <c r="O62" i="1"/>
  <c r="C49" i="3" s="1"/>
  <c r="O63" i="1"/>
  <c r="C50" i="3" s="1"/>
  <c r="O64" i="1"/>
  <c r="C51" i="3" s="1"/>
  <c r="O65" i="1"/>
  <c r="C52" i="3" s="1"/>
  <c r="O66" i="1"/>
  <c r="C53" i="3" s="1"/>
  <c r="O67" i="1"/>
  <c r="C54" i="3" s="1"/>
  <c r="O68" i="1"/>
  <c r="C55" i="3" s="1"/>
  <c r="O69" i="1"/>
  <c r="C56" i="3" s="1"/>
  <c r="O70" i="1"/>
  <c r="C57" i="3" s="1"/>
  <c r="O71" i="1"/>
  <c r="C58" i="3" s="1"/>
  <c r="O72" i="1"/>
  <c r="C59" i="3" s="1"/>
  <c r="O73" i="1"/>
  <c r="C60" i="3" s="1"/>
  <c r="O74" i="1"/>
  <c r="C61" i="3" s="1"/>
  <c r="O75" i="1"/>
  <c r="C62" i="3" s="1"/>
  <c r="O76" i="1"/>
  <c r="C63" i="3" s="1"/>
  <c r="O77" i="1"/>
  <c r="C64" i="3" s="1"/>
  <c r="O78" i="1"/>
  <c r="C65" i="3" s="1"/>
  <c r="O79" i="1"/>
  <c r="C66" i="3" s="1"/>
  <c r="O80" i="1"/>
  <c r="C67" i="3" s="1"/>
  <c r="O81" i="1"/>
  <c r="C68" i="3" s="1"/>
  <c r="O82" i="1"/>
  <c r="C69" i="3" s="1"/>
  <c r="O83" i="1"/>
  <c r="C70" i="3" s="1"/>
  <c r="O84" i="1"/>
  <c r="C71" i="3" s="1"/>
  <c r="O85" i="1"/>
  <c r="C72" i="3" s="1"/>
  <c r="O86" i="1"/>
  <c r="C73" i="3" s="1"/>
  <c r="O87" i="1"/>
  <c r="C74" i="3" s="1"/>
  <c r="O88" i="1"/>
  <c r="C75" i="3" s="1"/>
  <c r="O89" i="1"/>
  <c r="C76" i="3" s="1"/>
  <c r="O90" i="1"/>
  <c r="C77" i="3" s="1"/>
  <c r="O91" i="1"/>
  <c r="C78" i="3" s="1"/>
  <c r="O92" i="1"/>
  <c r="C79" i="3" s="1"/>
  <c r="O93" i="1"/>
  <c r="C80" i="3" s="1"/>
  <c r="O94" i="1"/>
  <c r="C81" i="3" s="1"/>
  <c r="O95" i="1"/>
  <c r="C82" i="3" s="1"/>
  <c r="O96" i="1"/>
  <c r="C83" i="3" s="1"/>
  <c r="O97" i="1"/>
  <c r="C84" i="3" s="1"/>
  <c r="O98" i="1"/>
  <c r="C85" i="3" s="1"/>
  <c r="O99" i="1"/>
  <c r="C86" i="3" s="1"/>
  <c r="O100" i="1"/>
  <c r="C87" i="3" s="1"/>
  <c r="O101" i="1"/>
  <c r="C88" i="3" s="1"/>
  <c r="O102" i="1"/>
  <c r="C89" i="3" s="1"/>
  <c r="O103" i="1"/>
  <c r="C90" i="3" s="1"/>
  <c r="O104" i="1"/>
  <c r="C91" i="3" s="1"/>
  <c r="O105" i="1"/>
  <c r="C92" i="3" s="1"/>
  <c r="O106" i="1"/>
  <c r="C93" i="3" s="1"/>
  <c r="O107" i="1"/>
  <c r="C94" i="3" s="1"/>
  <c r="O108" i="1"/>
  <c r="C95" i="3" s="1"/>
  <c r="O109" i="1"/>
  <c r="C96" i="3" s="1"/>
  <c r="O110" i="1"/>
  <c r="C97" i="3" s="1"/>
  <c r="O111" i="1"/>
  <c r="C98" i="3" s="1"/>
  <c r="O112" i="1"/>
  <c r="C99" i="3" s="1"/>
  <c r="O113" i="1"/>
  <c r="C100" i="3" s="1"/>
  <c r="O114" i="1"/>
  <c r="C101" i="3" s="1"/>
  <c r="O115" i="1"/>
  <c r="C102" i="3" s="1"/>
  <c r="O116" i="1"/>
  <c r="C103" i="3" s="1"/>
  <c r="O117" i="1"/>
  <c r="C104" i="3" s="1"/>
  <c r="O118" i="1"/>
  <c r="C105" i="3" s="1"/>
  <c r="O119" i="1"/>
  <c r="C106" i="3" s="1"/>
  <c r="O120" i="1"/>
  <c r="C107" i="3" s="1"/>
  <c r="O121" i="1"/>
  <c r="C108" i="3" s="1"/>
  <c r="O122" i="1"/>
  <c r="C109" i="3" s="1"/>
  <c r="O123" i="1"/>
  <c r="C110" i="3" s="1"/>
  <c r="O124" i="1"/>
  <c r="C111" i="3" s="1"/>
  <c r="O125" i="1"/>
  <c r="C112" i="3" s="1"/>
  <c r="O126" i="1"/>
  <c r="C113" i="3" s="1"/>
  <c r="O127" i="1"/>
  <c r="C114" i="3" s="1"/>
  <c r="O128" i="1"/>
  <c r="C115" i="3" s="1"/>
  <c r="O129" i="1"/>
  <c r="C116" i="3" s="1"/>
  <c r="O130" i="1"/>
  <c r="C117" i="3" s="1"/>
  <c r="O131" i="1"/>
  <c r="C118" i="3" s="1"/>
  <c r="C2" i="3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D16" i="2"/>
  <c r="J16" i="2" s="1"/>
  <c r="D17" i="2"/>
  <c r="J17" i="2" s="1"/>
  <c r="D18" i="2"/>
  <c r="J18" i="2" s="1"/>
  <c r="D19" i="2"/>
  <c r="J19" i="2" s="1"/>
  <c r="D20" i="2"/>
  <c r="J20" i="2" s="1"/>
  <c r="D21" i="2"/>
  <c r="J21" i="2" s="1"/>
  <c r="D22" i="2"/>
  <c r="J22" i="2" s="1"/>
  <c r="D23" i="2"/>
  <c r="J23" i="2" s="1"/>
  <c r="D24" i="2"/>
  <c r="J24" i="2" s="1"/>
  <c r="D25" i="2"/>
  <c r="J25" i="2" s="1"/>
  <c r="D26" i="2"/>
  <c r="J26" i="2" s="1"/>
  <c r="D27" i="2"/>
  <c r="J27" i="2" s="1"/>
  <c r="D28" i="2"/>
  <c r="J28" i="2" s="1"/>
  <c r="D29" i="2"/>
  <c r="J29" i="2" s="1"/>
  <c r="D30" i="2"/>
  <c r="J30" i="2" s="1"/>
  <c r="D31" i="2"/>
  <c r="J31" i="2" s="1"/>
  <c r="D32" i="2"/>
  <c r="J32" i="2" s="1"/>
  <c r="D33" i="2"/>
  <c r="J33" i="2" s="1"/>
  <c r="D34" i="2"/>
  <c r="J34" i="2" s="1"/>
  <c r="D35" i="2"/>
  <c r="J35" i="2" s="1"/>
  <c r="D36" i="2"/>
  <c r="J36" i="2" s="1"/>
  <c r="D37" i="2"/>
  <c r="J37" i="2" s="1"/>
  <c r="D38" i="2"/>
  <c r="J38" i="2" s="1"/>
  <c r="D39" i="2"/>
  <c r="J39" i="2" s="1"/>
  <c r="D40" i="2"/>
  <c r="J40" i="2" s="1"/>
  <c r="D41" i="2"/>
  <c r="J41" i="2" s="1"/>
  <c r="D42" i="2"/>
  <c r="J42" i="2" s="1"/>
  <c r="D43" i="2"/>
  <c r="J43" i="2" s="1"/>
  <c r="D44" i="2"/>
  <c r="J44" i="2" s="1"/>
  <c r="D45" i="2"/>
  <c r="J45" i="2" s="1"/>
  <c r="D46" i="2"/>
  <c r="J46" i="2" s="1"/>
  <c r="D47" i="2"/>
  <c r="J47" i="2" s="1"/>
  <c r="D48" i="2"/>
  <c r="J48" i="2" s="1"/>
  <c r="D49" i="2"/>
  <c r="J49" i="2" s="1"/>
  <c r="D50" i="2"/>
  <c r="J50" i="2" s="1"/>
  <c r="D51" i="2"/>
  <c r="J51" i="2" s="1"/>
  <c r="D52" i="2"/>
  <c r="J52" i="2" s="1"/>
  <c r="D53" i="2"/>
  <c r="J53" i="2" s="1"/>
  <c r="D54" i="2"/>
  <c r="J54" i="2" s="1"/>
  <c r="D55" i="2"/>
  <c r="J55" i="2" s="1"/>
  <c r="D56" i="2"/>
  <c r="J56" i="2" s="1"/>
  <c r="D57" i="2"/>
  <c r="J57" i="2" s="1"/>
  <c r="D58" i="2"/>
  <c r="J58" i="2" s="1"/>
  <c r="D59" i="2"/>
  <c r="J59" i="2" s="1"/>
  <c r="D60" i="2"/>
  <c r="J60" i="2" s="1"/>
  <c r="D61" i="2"/>
  <c r="J61" i="2" s="1"/>
  <c r="D62" i="2"/>
  <c r="J62" i="2" s="1"/>
  <c r="D63" i="2"/>
  <c r="J63" i="2" s="1"/>
  <c r="D64" i="2"/>
  <c r="J64" i="2" s="1"/>
  <c r="D65" i="2"/>
  <c r="J65" i="2" s="1"/>
  <c r="D66" i="2"/>
  <c r="J66" i="2" s="1"/>
  <c r="D67" i="2"/>
  <c r="J67" i="2" s="1"/>
  <c r="D68" i="2"/>
  <c r="J68" i="2" s="1"/>
  <c r="D69" i="2"/>
  <c r="J69" i="2" s="1"/>
  <c r="D70" i="2"/>
  <c r="J70" i="2" s="1"/>
  <c r="D71" i="2"/>
  <c r="J71" i="2" s="1"/>
  <c r="D72" i="2"/>
  <c r="J72" i="2" s="1"/>
  <c r="D73" i="2"/>
  <c r="J73" i="2" s="1"/>
  <c r="D74" i="2"/>
  <c r="J74" i="2" s="1"/>
  <c r="D75" i="2"/>
  <c r="J75" i="2" s="1"/>
  <c r="D76" i="2"/>
  <c r="J76" i="2" s="1"/>
  <c r="D77" i="2"/>
  <c r="J77" i="2" s="1"/>
  <c r="D78" i="2"/>
  <c r="J78" i="2" s="1"/>
  <c r="D79" i="2"/>
  <c r="J79" i="2" s="1"/>
  <c r="D80" i="2"/>
  <c r="J80" i="2" s="1"/>
  <c r="D81" i="2"/>
  <c r="J81" i="2" s="1"/>
  <c r="D82" i="2"/>
  <c r="J82" i="2" s="1"/>
  <c r="D83" i="2"/>
  <c r="J83" i="2" s="1"/>
  <c r="D84" i="2"/>
  <c r="J84" i="2" s="1"/>
  <c r="D85" i="2"/>
  <c r="J85" i="2" s="1"/>
  <c r="D86" i="2"/>
  <c r="J86" i="2" s="1"/>
  <c r="D87" i="2"/>
  <c r="J87" i="2" s="1"/>
  <c r="D88" i="2"/>
  <c r="J88" i="2" s="1"/>
  <c r="D89" i="2"/>
  <c r="J89" i="2" s="1"/>
  <c r="D90" i="2"/>
  <c r="J90" i="2" s="1"/>
  <c r="D91" i="2"/>
  <c r="J91" i="2" s="1"/>
  <c r="D92" i="2"/>
  <c r="J92" i="2" s="1"/>
  <c r="D93" i="2"/>
  <c r="J93" i="2" s="1"/>
  <c r="D94" i="2"/>
  <c r="J94" i="2" s="1"/>
  <c r="D95" i="2"/>
  <c r="J95" i="2" s="1"/>
  <c r="D96" i="2"/>
  <c r="J96" i="2" s="1"/>
  <c r="D97" i="2"/>
  <c r="J97" i="2" s="1"/>
  <c r="D98" i="2"/>
  <c r="J98" i="2" s="1"/>
  <c r="D99" i="2"/>
  <c r="J99" i="2" s="1"/>
  <c r="D100" i="2"/>
  <c r="J100" i="2" s="1"/>
  <c r="D101" i="2"/>
  <c r="J101" i="2" s="1"/>
  <c r="D102" i="2"/>
  <c r="J102" i="2" s="1"/>
  <c r="D103" i="2"/>
  <c r="J103" i="2" s="1"/>
  <c r="D104" i="2"/>
  <c r="J104" i="2" s="1"/>
  <c r="D105" i="2"/>
  <c r="J105" i="2" s="1"/>
  <c r="D106" i="2"/>
  <c r="J106" i="2" s="1"/>
  <c r="D107" i="2"/>
  <c r="J107" i="2" s="1"/>
  <c r="D108" i="2"/>
  <c r="J108" i="2" s="1"/>
  <c r="D109" i="2"/>
  <c r="J109" i="2" s="1"/>
  <c r="D110" i="2"/>
  <c r="J110" i="2" s="1"/>
  <c r="D111" i="2"/>
  <c r="J111" i="2" s="1"/>
  <c r="D112" i="2"/>
  <c r="J112" i="2" s="1"/>
  <c r="D113" i="2"/>
  <c r="J113" i="2" s="1"/>
  <c r="D114" i="2"/>
  <c r="J114" i="2" s="1"/>
  <c r="D115" i="2"/>
  <c r="J115" i="2" s="1"/>
  <c r="D116" i="2"/>
  <c r="J116" i="2" s="1"/>
  <c r="D117" i="2"/>
  <c r="J117" i="2" s="1"/>
  <c r="D118" i="2"/>
  <c r="J118" i="2" s="1"/>
  <c r="J2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O5" i="3"/>
  <c r="O10" i="3"/>
  <c r="N2" i="3"/>
  <c r="J3" i="3"/>
  <c r="N11" i="3"/>
  <c r="O11" i="3"/>
  <c r="O3" i="3"/>
  <c r="N6" i="3"/>
  <c r="N13" i="3"/>
  <c r="J6" i="3"/>
  <c r="N7" i="3"/>
  <c r="O6" i="3"/>
  <c r="J11" i="3"/>
  <c r="J8" i="3"/>
  <c r="N3" i="3"/>
  <c r="N9" i="3"/>
  <c r="O12" i="3"/>
  <c r="K64" i="3" l="1"/>
  <c r="K54" i="3"/>
  <c r="K88" i="3"/>
  <c r="J113" i="3"/>
  <c r="N14" i="3"/>
  <c r="N80" i="3"/>
  <c r="J120" i="3"/>
  <c r="X118" i="3"/>
  <c r="Y118" i="3" s="1"/>
  <c r="X110" i="3"/>
  <c r="Y110" i="3" s="1"/>
  <c r="X102" i="3"/>
  <c r="Y102" i="3" s="1"/>
  <c r="X94" i="3"/>
  <c r="Y94" i="3" s="1"/>
  <c r="X86" i="3"/>
  <c r="Y86" i="3" s="1"/>
  <c r="X78" i="3"/>
  <c r="Y78" i="3" s="1"/>
  <c r="X70" i="3"/>
  <c r="Y70" i="3" s="1"/>
  <c r="X62" i="3"/>
  <c r="Y62" i="3" s="1"/>
  <c r="X54" i="3"/>
  <c r="Y54" i="3" s="1"/>
  <c r="X46" i="3"/>
  <c r="Y46" i="3" s="1"/>
  <c r="O104" i="3"/>
  <c r="K45" i="3"/>
  <c r="K72" i="3"/>
  <c r="K83" i="3"/>
  <c r="J87" i="3"/>
  <c r="N44" i="3"/>
  <c r="O43" i="3"/>
  <c r="N43" i="3"/>
  <c r="X60" i="3"/>
  <c r="Y60" i="3" s="1"/>
  <c r="O89" i="3"/>
  <c r="K89" i="3"/>
  <c r="J89" i="3"/>
  <c r="N38" i="3"/>
  <c r="X71" i="3"/>
  <c r="Y71" i="3" s="1"/>
  <c r="X55" i="3"/>
  <c r="Y55" i="3" s="1"/>
  <c r="J66" i="3"/>
  <c r="K119" i="3"/>
  <c r="N60" i="3"/>
  <c r="J60" i="3"/>
  <c r="N68" i="3"/>
  <c r="J68" i="3"/>
  <c r="O120" i="3"/>
  <c r="J14" i="3"/>
  <c r="K84" i="3"/>
  <c r="N90" i="3"/>
  <c r="N45" i="3"/>
  <c r="K10" i="3"/>
  <c r="O101" i="3"/>
  <c r="X68" i="3"/>
  <c r="Y68" i="3" s="1"/>
  <c r="N62" i="3"/>
  <c r="J31" i="3"/>
  <c r="X65" i="3"/>
  <c r="Y65" i="3" s="1"/>
  <c r="X49" i="3"/>
  <c r="Y49" i="3" s="1"/>
  <c r="X41" i="3"/>
  <c r="Y41" i="3" s="1"/>
  <c r="X33" i="3"/>
  <c r="Y33" i="3" s="1"/>
  <c r="X25" i="3"/>
  <c r="Y25" i="3" s="1"/>
  <c r="J29" i="3"/>
  <c r="O68" i="3"/>
  <c r="X72" i="3"/>
  <c r="Y72" i="3" s="1"/>
  <c r="X64" i="3"/>
  <c r="Y64" i="3" s="1"/>
  <c r="X56" i="3"/>
  <c r="Y56" i="3" s="1"/>
  <c r="J44" i="3"/>
  <c r="N119" i="3"/>
  <c r="K109" i="3"/>
  <c r="N17" i="3"/>
  <c r="K99" i="3"/>
  <c r="J84" i="3"/>
  <c r="J109" i="3"/>
  <c r="X2" i="3"/>
  <c r="Y2" i="3" s="1"/>
  <c r="O25" i="3"/>
  <c r="X114" i="3"/>
  <c r="Y114" i="3" s="1"/>
  <c r="X106" i="3"/>
  <c r="Y106" i="3" s="1"/>
  <c r="X98" i="3"/>
  <c r="Y98" i="3" s="1"/>
  <c r="X90" i="3"/>
  <c r="Y90" i="3" s="1"/>
  <c r="X82" i="3"/>
  <c r="Y82" i="3" s="1"/>
  <c r="X74" i="3"/>
  <c r="Y74" i="3" s="1"/>
  <c r="X66" i="3"/>
  <c r="Y66" i="3" s="1"/>
  <c r="X58" i="3"/>
  <c r="Y58" i="3" s="1"/>
  <c r="X50" i="3"/>
  <c r="Y50" i="3" s="1"/>
  <c r="N116" i="3"/>
  <c r="O61" i="3"/>
  <c r="J79" i="3"/>
  <c r="O55" i="3"/>
  <c r="K96" i="3"/>
  <c r="J47" i="3"/>
  <c r="O113" i="3"/>
  <c r="O46" i="3"/>
  <c r="N83" i="3"/>
  <c r="N23" i="3"/>
  <c r="K108" i="3"/>
  <c r="K61" i="3"/>
  <c r="N39" i="3"/>
  <c r="K39" i="3"/>
  <c r="K80" i="3"/>
  <c r="N120" i="3"/>
  <c r="K23" i="3"/>
  <c r="O116" i="3"/>
  <c r="J116" i="3"/>
  <c r="J77" i="3"/>
  <c r="J80" i="3"/>
  <c r="X117" i="3"/>
  <c r="Y117" i="3" s="1"/>
  <c r="X109" i="3"/>
  <c r="Y109" i="3" s="1"/>
  <c r="X101" i="3"/>
  <c r="Y101" i="3" s="1"/>
  <c r="X93" i="3"/>
  <c r="Y93" i="3" s="1"/>
  <c r="X85" i="3"/>
  <c r="Y85" i="3" s="1"/>
  <c r="X77" i="3"/>
  <c r="Y77" i="3" s="1"/>
  <c r="X61" i="3"/>
  <c r="Y61" i="3" s="1"/>
  <c r="X45" i="3"/>
  <c r="Y45" i="3" s="1"/>
  <c r="X37" i="3"/>
  <c r="Y37" i="3" s="1"/>
  <c r="X29" i="3"/>
  <c r="Y29" i="3" s="1"/>
  <c r="X21" i="3"/>
  <c r="Y21" i="3" s="1"/>
  <c r="X13" i="3"/>
  <c r="Y13" i="3" s="1"/>
  <c r="X5" i="3"/>
  <c r="Y5" i="3" s="1"/>
  <c r="J23" i="3"/>
  <c r="K101" i="3"/>
  <c r="K87" i="3"/>
  <c r="N107" i="3"/>
  <c r="O87" i="3"/>
  <c r="X52" i="3"/>
  <c r="Y52" i="3" s="1"/>
  <c r="X44" i="3"/>
  <c r="Y44" i="3" s="1"/>
  <c r="J101" i="3"/>
  <c r="J17" i="3"/>
  <c r="K25" i="3"/>
  <c r="J107" i="3"/>
  <c r="O115" i="3"/>
  <c r="K13" i="3"/>
  <c r="K44" i="3"/>
  <c r="K66" i="3"/>
  <c r="J95" i="3"/>
  <c r="O33" i="3"/>
  <c r="O21" i="3"/>
  <c r="K17" i="3"/>
  <c r="K21" i="3"/>
  <c r="J91" i="3"/>
  <c r="J50" i="3"/>
  <c r="N46" i="3"/>
  <c r="N110" i="3"/>
  <c r="J37" i="3"/>
  <c r="J85" i="3"/>
  <c r="K33" i="3"/>
  <c r="K46" i="3"/>
  <c r="K78" i="3"/>
  <c r="K103" i="3"/>
  <c r="J41" i="3"/>
  <c r="J58" i="3"/>
  <c r="O111" i="3"/>
  <c r="O29" i="3"/>
  <c r="K6" i="3"/>
  <c r="K37" i="3"/>
  <c r="J54" i="3"/>
  <c r="O66" i="3"/>
  <c r="O85" i="3"/>
  <c r="N21" i="3"/>
  <c r="N84" i="3"/>
  <c r="K91" i="3"/>
  <c r="K36" i="3"/>
  <c r="K50" i="3"/>
  <c r="N54" i="3"/>
  <c r="K29" i="3"/>
  <c r="J33" i="3"/>
  <c r="N103" i="3"/>
  <c r="J103" i="3"/>
  <c r="K41" i="3"/>
  <c r="O50" i="3"/>
  <c r="K58" i="3"/>
  <c r="N91" i="3"/>
  <c r="O37" i="3"/>
  <c r="N85" i="3"/>
  <c r="K9" i="3"/>
  <c r="N106" i="3"/>
  <c r="O106" i="3"/>
  <c r="N24" i="3"/>
  <c r="J24" i="3"/>
  <c r="K16" i="3"/>
  <c r="J16" i="3"/>
  <c r="K4" i="3"/>
  <c r="N81" i="3"/>
  <c r="J81" i="3"/>
  <c r="N53" i="3"/>
  <c r="K53" i="3"/>
  <c r="J61" i="3"/>
  <c r="J102" i="3"/>
  <c r="O86" i="3"/>
  <c r="J86" i="3"/>
  <c r="J52" i="3"/>
  <c r="N52" i="3"/>
  <c r="O35" i="3"/>
  <c r="N35" i="3"/>
  <c r="N27" i="3"/>
  <c r="K27" i="3"/>
  <c r="J73" i="3"/>
  <c r="O73" i="3"/>
  <c r="N69" i="3"/>
  <c r="K69" i="3"/>
  <c r="N57" i="3"/>
  <c r="J57" i="3"/>
  <c r="O57" i="3"/>
  <c r="K12" i="3"/>
  <c r="J90" i="3"/>
  <c r="N48" i="3"/>
  <c r="O48" i="3"/>
  <c r="O19" i="3"/>
  <c r="N19" i="3"/>
  <c r="K3" i="3"/>
  <c r="K19" i="3"/>
  <c r="O16" i="3"/>
  <c r="N28" i="3"/>
  <c r="J35" i="3"/>
  <c r="J76" i="3"/>
  <c r="J106" i="3"/>
  <c r="N86" i="3"/>
  <c r="J45" i="3"/>
  <c r="J69" i="3"/>
  <c r="O114" i="3"/>
  <c r="K110" i="3"/>
  <c r="J39" i="3"/>
  <c r="K114" i="3"/>
  <c r="O64" i="3"/>
  <c r="K90" i="3"/>
  <c r="O27" i="3"/>
  <c r="N115" i="3"/>
  <c r="K115" i="3"/>
  <c r="O92" i="3"/>
  <c r="N92" i="3"/>
  <c r="N88" i="3"/>
  <c r="O88" i="3"/>
  <c r="N79" i="3"/>
  <c r="O79" i="3"/>
  <c r="O71" i="3"/>
  <c r="N71" i="3"/>
  <c r="K55" i="3"/>
  <c r="J55" i="3"/>
  <c r="O42" i="3"/>
  <c r="J42" i="3"/>
  <c r="N42" i="3"/>
  <c r="O38" i="3"/>
  <c r="K38" i="3"/>
  <c r="X113" i="3"/>
  <c r="Y113" i="3" s="1"/>
  <c r="X105" i="3"/>
  <c r="Y105" i="3" s="1"/>
  <c r="X97" i="3"/>
  <c r="Y97" i="3" s="1"/>
  <c r="X89" i="3"/>
  <c r="Y89" i="3" s="1"/>
  <c r="X81" i="3"/>
  <c r="Y81" i="3" s="1"/>
  <c r="X73" i="3"/>
  <c r="Y73" i="3" s="1"/>
  <c r="X69" i="3"/>
  <c r="Y69" i="3" s="1"/>
  <c r="X57" i="3"/>
  <c r="Y57" i="3" s="1"/>
  <c r="X53" i="3"/>
  <c r="Y53" i="3" s="1"/>
  <c r="X17" i="3"/>
  <c r="Y17" i="3" s="1"/>
  <c r="X9" i="3"/>
  <c r="Y9" i="3" s="1"/>
  <c r="X119" i="3"/>
  <c r="Y119" i="3" s="1"/>
  <c r="X115" i="3"/>
  <c r="Y115" i="3" s="1"/>
  <c r="X111" i="3"/>
  <c r="Y111" i="3" s="1"/>
  <c r="X107" i="3"/>
  <c r="Y107" i="3" s="1"/>
  <c r="X103" i="3"/>
  <c r="Y103" i="3" s="1"/>
  <c r="X99" i="3"/>
  <c r="Y99" i="3" s="1"/>
  <c r="X95" i="3"/>
  <c r="Y95" i="3" s="1"/>
  <c r="X91" i="3"/>
  <c r="Y91" i="3" s="1"/>
  <c r="X87" i="3"/>
  <c r="Y87" i="3" s="1"/>
  <c r="X83" i="3"/>
  <c r="Y83" i="3" s="1"/>
  <c r="X79" i="3"/>
  <c r="Y79" i="3" s="1"/>
  <c r="X75" i="3"/>
  <c r="Y75" i="3" s="1"/>
  <c r="X67" i="3"/>
  <c r="Y67" i="3" s="1"/>
  <c r="X63" i="3"/>
  <c r="Y63" i="3" s="1"/>
  <c r="X59" i="3"/>
  <c r="Y59" i="3" s="1"/>
  <c r="X51" i="3"/>
  <c r="Y51" i="3" s="1"/>
  <c r="X47" i="3"/>
  <c r="Y47" i="3" s="1"/>
  <c r="X43" i="3"/>
  <c r="Y43" i="3" s="1"/>
  <c r="X39" i="3"/>
  <c r="Y39" i="3" s="1"/>
  <c r="X35" i="3"/>
  <c r="Y35" i="3" s="1"/>
  <c r="X31" i="3"/>
  <c r="Y31" i="3" s="1"/>
  <c r="X27" i="3"/>
  <c r="Y27" i="3" s="1"/>
  <c r="X23" i="3"/>
  <c r="Y23" i="3" s="1"/>
  <c r="X19" i="3"/>
  <c r="Y19" i="3" s="1"/>
  <c r="X15" i="3"/>
  <c r="Y15" i="3" s="1"/>
  <c r="X11" i="3"/>
  <c r="Y11" i="3" s="1"/>
  <c r="X7" i="3"/>
  <c r="Y7" i="3" s="1"/>
  <c r="N56" i="3"/>
  <c r="J56" i="3"/>
  <c r="O31" i="3"/>
  <c r="K31" i="3"/>
  <c r="K2" i="3"/>
  <c r="K8" i="3"/>
  <c r="J19" i="3"/>
  <c r="K24" i="3"/>
  <c r="N16" i="3"/>
  <c r="K35" i="3"/>
  <c r="J75" i="3"/>
  <c r="O52" i="3"/>
  <c r="K52" i="3"/>
  <c r="K76" i="3"/>
  <c r="J108" i="3"/>
  <c r="K106" i="3"/>
  <c r="N94" i="3"/>
  <c r="J53" i="3"/>
  <c r="K77" i="3"/>
  <c r="O63" i="3"/>
  <c r="O56" i="3"/>
  <c r="K71" i="3"/>
  <c r="K48" i="3"/>
  <c r="J96" i="3"/>
  <c r="K57" i="3"/>
  <c r="N64" i="3"/>
  <c r="O112" i="3"/>
  <c r="K73" i="3"/>
  <c r="O83" i="3"/>
  <c r="O81" i="3"/>
  <c r="O69" i="3"/>
  <c r="O118" i="3"/>
  <c r="J118" i="3"/>
  <c r="N114" i="3"/>
  <c r="N99" i="3"/>
  <c r="J99" i="3"/>
  <c r="O82" i="3"/>
  <c r="N82" i="3"/>
  <c r="J82" i="3"/>
  <c r="X120" i="3"/>
  <c r="Y120" i="3" s="1"/>
  <c r="X116" i="3"/>
  <c r="Y116" i="3" s="1"/>
  <c r="X104" i="3"/>
  <c r="Y104" i="3" s="1"/>
  <c r="X100" i="3"/>
  <c r="Y100" i="3" s="1"/>
  <c r="X96" i="3"/>
  <c r="Y96" i="3" s="1"/>
  <c r="X92" i="3"/>
  <c r="Y92" i="3" s="1"/>
  <c r="X88" i="3"/>
  <c r="Y88" i="3" s="1"/>
  <c r="X84" i="3"/>
  <c r="Y84" i="3" s="1"/>
  <c r="X80" i="3"/>
  <c r="Y80" i="3" s="1"/>
  <c r="X76" i="3"/>
  <c r="Y76" i="3" s="1"/>
  <c r="X40" i="3"/>
  <c r="Y40" i="3" s="1"/>
  <c r="X36" i="3"/>
  <c r="Y36" i="3" s="1"/>
  <c r="X32" i="3"/>
  <c r="Y32" i="3" s="1"/>
  <c r="X28" i="3"/>
  <c r="Y28" i="3" s="1"/>
  <c r="X24" i="3"/>
  <c r="Y24" i="3" s="1"/>
  <c r="X20" i="3"/>
  <c r="Y20" i="3" s="1"/>
  <c r="X16" i="3"/>
  <c r="Y16" i="3" s="1"/>
  <c r="X12" i="3"/>
  <c r="Y12" i="3" s="1"/>
  <c r="X8" i="3"/>
  <c r="Y8" i="3" s="1"/>
  <c r="X4" i="3"/>
  <c r="Y4" i="3" s="1"/>
  <c r="K97" i="3"/>
  <c r="O97" i="3"/>
  <c r="J97" i="3"/>
  <c r="N93" i="3"/>
  <c r="K93" i="3"/>
  <c r="O93" i="3"/>
  <c r="J93" i="3"/>
  <c r="N74" i="3"/>
  <c r="O74" i="3"/>
  <c r="K70" i="3"/>
  <c r="O70" i="3"/>
  <c r="J70" i="3"/>
  <c r="K14" i="3"/>
  <c r="K67" i="3"/>
  <c r="N78" i="3"/>
  <c r="K74" i="3"/>
  <c r="N63" i="3"/>
  <c r="J63" i="3"/>
  <c r="K112" i="3"/>
  <c r="N112" i="3"/>
  <c r="N104" i="3"/>
  <c r="K104" i="3"/>
  <c r="K100" i="3"/>
  <c r="O100" i="3"/>
  <c r="J100" i="3"/>
  <c r="O49" i="3"/>
  <c r="N49" i="3"/>
  <c r="K40" i="3"/>
  <c r="J40" i="3"/>
  <c r="N40" i="3"/>
  <c r="N36" i="3"/>
  <c r="O36" i="3"/>
  <c r="K32" i="3"/>
  <c r="N32" i="3"/>
  <c r="J32" i="3"/>
  <c r="K28" i="3"/>
  <c r="O28" i="3"/>
  <c r="J117" i="3"/>
  <c r="O117" i="3"/>
  <c r="O102" i="3"/>
  <c r="K102" i="3"/>
  <c r="O59" i="3"/>
  <c r="J59" i="3"/>
  <c r="J34" i="3"/>
  <c r="N34" i="3"/>
  <c r="K34" i="3"/>
  <c r="K30" i="3"/>
  <c r="O30" i="3"/>
  <c r="J30" i="3"/>
  <c r="N30" i="3"/>
  <c r="K26" i="3"/>
  <c r="N26" i="3"/>
  <c r="O22" i="3"/>
  <c r="K22" i="3"/>
  <c r="N22" i="3"/>
  <c r="X112" i="3"/>
  <c r="Y112" i="3" s="1"/>
  <c r="X108" i="3"/>
  <c r="Y108" i="3" s="1"/>
  <c r="X42" i="3"/>
  <c r="Y42" i="3" s="1"/>
  <c r="X38" i="3"/>
  <c r="Y38" i="3" s="1"/>
  <c r="X34" i="3"/>
  <c r="Y34" i="3" s="1"/>
  <c r="X30" i="3"/>
  <c r="Y30" i="3" s="1"/>
  <c r="X26" i="3"/>
  <c r="Y26" i="3" s="1"/>
  <c r="X22" i="3"/>
  <c r="Y22" i="3" s="1"/>
  <c r="X18" i="3"/>
  <c r="Y18" i="3" s="1"/>
  <c r="X14" i="3"/>
  <c r="Y14" i="3" s="1"/>
  <c r="X3" i="3"/>
  <c r="Y3" i="3" s="1"/>
  <c r="N15" i="3"/>
  <c r="J15" i="3"/>
  <c r="J18" i="3"/>
  <c r="N20" i="3"/>
  <c r="K20" i="3"/>
  <c r="O15" i="3"/>
  <c r="K18" i="3"/>
  <c r="J20" i="3"/>
  <c r="K11" i="3"/>
  <c r="X10" i="3"/>
  <c r="Y10" i="3" s="1"/>
  <c r="K7" i="3"/>
  <c r="X6" i="3"/>
  <c r="Y6" i="3" s="1"/>
  <c r="N117" i="3"/>
  <c r="O110" i="3"/>
  <c r="O108" i="3"/>
  <c r="N97" i="3"/>
  <c r="O95" i="3"/>
  <c r="O78" i="3"/>
  <c r="O76" i="3"/>
  <c r="N59" i="3"/>
  <c r="N41" i="3"/>
  <c r="K75" i="3"/>
  <c r="K107" i="3"/>
  <c r="K111" i="3"/>
  <c r="N98" i="3"/>
  <c r="K62" i="3"/>
  <c r="K94" i="3"/>
  <c r="J98" i="3"/>
  <c r="O67" i="3"/>
  <c r="O109" i="3"/>
  <c r="O77" i="3"/>
  <c r="K60" i="3"/>
  <c r="K92" i="3"/>
  <c r="K49" i="3"/>
  <c r="K105" i="3"/>
  <c r="N47" i="3"/>
  <c r="J72" i="3"/>
  <c r="O96" i="3"/>
  <c r="K65" i="3"/>
  <c r="N25" i="3"/>
  <c r="J51" i="3"/>
  <c r="J67" i="3"/>
  <c r="O98" i="3"/>
  <c r="N118" i="3"/>
  <c r="O119" i="3"/>
  <c r="J111" i="3"/>
  <c r="K56" i="3"/>
  <c r="N95" i="3"/>
  <c r="J62" i="3"/>
  <c r="J94" i="3"/>
  <c r="O65" i="3"/>
  <c r="O72" i="3"/>
  <c r="K47" i="3"/>
  <c r="N75" i="3"/>
  <c r="O51" i="3"/>
  <c r="O105" i="3"/>
  <c r="O13" i="3"/>
  <c r="N12" i="3"/>
  <c r="O2" i="3"/>
  <c r="O4" i="3"/>
  <c r="J12" i="3"/>
  <c r="O8" i="3"/>
  <c r="J2" i="3"/>
  <c r="J5" i="3"/>
  <c r="J4" i="3"/>
  <c r="N8" i="3"/>
  <c r="N4" i="3"/>
  <c r="J13" i="3"/>
  <c r="J10" i="3"/>
  <c r="O7" i="3"/>
  <c r="J9" i="3"/>
  <c r="N5" i="3"/>
  <c r="N10" i="3"/>
  <c r="J7" i="3"/>
  <c r="O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Karl Toriello</author>
  </authors>
  <commentList>
    <comment ref="D14" authorId="0" shapeId="0" xr:uid="{D411067E-AE5B-4D97-8443-52B2719DE057}">
      <text>
        <r>
          <rPr>
            <b/>
            <sz val="9"/>
            <color indexed="81"/>
            <rFont val="Tahoma"/>
            <family val="2"/>
          </rPr>
          <t>Karl Toriello:</t>
        </r>
        <r>
          <rPr>
            <sz val="9"/>
            <color indexed="81"/>
            <rFont val="Tahoma"/>
            <family val="2"/>
          </rPr>
          <t xml:space="preserve">
CTRL+SHFT+;</t>
        </r>
      </text>
    </comment>
    <comment ref="E14" authorId="0" shapeId="0" xr:uid="{2E4193A1-7600-40F0-90EF-14C65494E83B}">
      <text>
        <r>
          <rPr>
            <b/>
            <sz val="9"/>
            <color indexed="81"/>
            <rFont val="Tahoma"/>
            <family val="2"/>
          </rPr>
          <t>Karl Toriello:</t>
        </r>
        <r>
          <rPr>
            <sz val="9"/>
            <color indexed="81"/>
            <rFont val="Tahoma"/>
            <family val="2"/>
          </rPr>
          <t xml:space="preserve">
Potable Water Cold (PWC), Potable Water Hot (PWH), Potable Water Mixed (PWM), Non-Potable Water (NPW), Cooling Water (CW), Recreation Water (RW), Ice Chips (IC), Swab (SWB)</t>
        </r>
      </text>
    </comment>
    <comment ref="H14" authorId="0" shapeId="0" xr:uid="{D469EEE4-E334-49A7-8C8B-B8F2065B908D}">
      <text>
        <r>
          <rPr>
            <b/>
            <sz val="9"/>
            <color rgb="FF000000"/>
            <rFont val="Tahoma"/>
            <family val="2"/>
          </rPr>
          <t>Karl Toriello: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Cold Mains (CM), Storage Tank (ST), Water Heater (WH), Sink (SNK), Shower (SHO), Tub (TUB), Electronic Faucet (EF), Cooling Tower (CT), Water Feature (WF), Swimming Pool (SP), Spa/Jacuzzi (SPA), Ice Machine (IM)</t>
        </r>
      </text>
    </comment>
    <comment ref="I14" authorId="0" shapeId="0" xr:uid="{41154FF9-422D-4A06-A70D-731B997B5CD6}">
      <text>
        <r>
          <rPr>
            <b/>
            <sz val="9"/>
            <color rgb="FF000000"/>
            <rFont val="Tahoma"/>
            <family val="2"/>
          </rPr>
          <t>Karl Toriello: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Enter a sample description.</t>
        </r>
      </text>
    </comment>
  </commentList>
</comments>
</file>

<file path=xl/sharedStrings.xml><?xml version="1.0" encoding="utf-8"?>
<sst xmlns="http://schemas.openxmlformats.org/spreadsheetml/2006/main" count="343" uniqueCount="121">
  <si>
    <t>Legionella Analytical Chain of Custody (COC) Form</t>
  </si>
  <si>
    <t>The COC Form must be used with ReadyLabels.  This form may not be used with Form 323-A.</t>
  </si>
  <si>
    <t>Nalco Information</t>
  </si>
  <si>
    <t>Customer Information</t>
  </si>
  <si>
    <t>No.</t>
  </si>
  <si>
    <t>Test Code</t>
  </si>
  <si>
    <r>
      <t xml:space="preserve">Time
</t>
    </r>
    <r>
      <rPr>
        <sz val="8"/>
        <color theme="1"/>
        <rFont val="Calibri"/>
        <family val="2"/>
        <scheme val="minor"/>
      </rPr>
      <t>(24HR)</t>
    </r>
  </si>
  <si>
    <r>
      <t xml:space="preserve">Taken By
</t>
    </r>
    <r>
      <rPr>
        <sz val="8"/>
        <color theme="1"/>
        <rFont val="Calibri"/>
        <family val="2"/>
        <scheme val="minor"/>
      </rPr>
      <t>(Initials)</t>
    </r>
  </si>
  <si>
    <r>
      <t xml:space="preserve">Temp
</t>
    </r>
    <r>
      <rPr>
        <sz val="8"/>
        <color theme="1"/>
        <rFont val="Calibri"/>
        <family val="2"/>
        <scheme val="minor"/>
      </rPr>
      <t>(F)</t>
    </r>
  </si>
  <si>
    <r>
      <t xml:space="preserve">TRO
</t>
    </r>
    <r>
      <rPr>
        <sz val="8"/>
        <color theme="1"/>
        <rFont val="Calibri"/>
        <family val="2"/>
        <scheme val="minor"/>
      </rPr>
      <t>(Cl</t>
    </r>
    <r>
      <rPr>
        <vertAlign val="subscript"/>
        <sz val="8"/>
        <color theme="1"/>
        <rFont val="Calibri"/>
        <family val="2"/>
        <scheme val="minor"/>
      </rPr>
      <t>2</t>
    </r>
    <r>
      <rPr>
        <sz val="8"/>
        <color theme="1"/>
        <rFont val="Calibri"/>
        <family val="2"/>
        <scheme val="minor"/>
      </rPr>
      <t>)</t>
    </r>
  </si>
  <si>
    <t>Copies to EHS Sales Rep(s):</t>
  </si>
  <si>
    <t>Customer Address:</t>
  </si>
  <si>
    <t>Sales Rep/District/Phone#/Email:</t>
  </si>
  <si>
    <t>Customer Name:</t>
  </si>
  <si>
    <t>SAP Ship-to/Sold-to:</t>
  </si>
  <si>
    <t>Billing Arrangement #:</t>
  </si>
  <si>
    <t>Copies to Other Nalco Rep(s) Optional:</t>
  </si>
  <si>
    <t>Customer Email (Required for Reporting):</t>
  </si>
  <si>
    <r>
      <t>Customer Price</t>
    </r>
    <r>
      <rPr>
        <b/>
        <sz val="8"/>
        <color theme="1"/>
        <rFont val="Calibri"/>
        <family val="2"/>
        <scheme val="minor"/>
      </rPr>
      <t xml:space="preserve"> (if other than list)</t>
    </r>
  </si>
  <si>
    <t>TEST CODES:  LEGION (DL = 10CFU/mL)     LEGION1 (DL=1 CFU/mL)     LEGION_CONC (DL=0.1 CFU/mL)     LEGION__SWB (Surface Swab)</t>
  </si>
  <si>
    <t>SAMPLE INFORMATION (Please write sample number on bottle and cap)</t>
  </si>
  <si>
    <t>Other Field Data</t>
  </si>
  <si>
    <r>
      <t>Source</t>
    </r>
    <r>
      <rPr>
        <b/>
        <vertAlign val="superscript"/>
        <sz val="10"/>
        <color theme="1"/>
        <rFont val="Calibri"/>
        <family val="2"/>
        <scheme val="minor"/>
      </rPr>
      <t>1</t>
    </r>
  </si>
  <si>
    <r>
      <t>Type</t>
    </r>
    <r>
      <rPr>
        <b/>
        <vertAlign val="superscript"/>
        <sz val="10"/>
        <color theme="1"/>
        <rFont val="Calibri"/>
        <family val="2"/>
        <scheme val="minor"/>
      </rPr>
      <t>2</t>
    </r>
  </si>
  <si>
    <r>
      <t>Location</t>
    </r>
    <r>
      <rPr>
        <b/>
        <vertAlign val="superscript"/>
        <sz val="10"/>
        <color theme="1"/>
        <rFont val="Calibri"/>
        <family val="2"/>
        <scheme val="minor"/>
      </rPr>
      <t>3</t>
    </r>
  </si>
  <si>
    <t>AVERY #</t>
  </si>
  <si>
    <r>
      <t xml:space="preserve">Date
</t>
    </r>
    <r>
      <rPr>
        <sz val="8"/>
        <color theme="1"/>
        <rFont val="Calibri"/>
        <family val="2"/>
        <scheme val="minor"/>
      </rPr>
      <t>(MM/DD/YY)</t>
    </r>
  </si>
  <si>
    <r>
      <rPr>
        <b/>
        <u/>
        <sz val="12"/>
        <color rgb="FFFF0000"/>
        <rFont val="Calibri"/>
        <family val="2"/>
        <scheme val="minor"/>
      </rPr>
      <t>Note to Sample Logger</t>
    </r>
    <r>
      <rPr>
        <b/>
        <sz val="12"/>
        <color rgb="FFFF0000"/>
        <rFont val="Calibri"/>
        <family val="2"/>
        <scheme val="minor"/>
      </rPr>
      <t>: Please receive the webapp-submitted sample info, don't log new sample.</t>
    </r>
  </si>
  <si>
    <t>Ready Label Number</t>
  </si>
  <si>
    <t>Owner Lab</t>
  </si>
  <si>
    <t>LEGION</t>
  </si>
  <si>
    <t>Sampling Point</t>
  </si>
  <si>
    <t>Sampled Date/Time</t>
  </si>
  <si>
    <t>System Type</t>
  </si>
  <si>
    <t>Source</t>
  </si>
  <si>
    <t>Type</t>
  </si>
  <si>
    <t>Avery #</t>
  </si>
  <si>
    <t>Text ID</t>
  </si>
  <si>
    <t>COC #</t>
  </si>
  <si>
    <t>Sample Date</t>
  </si>
  <si>
    <t>Sample Time</t>
  </si>
  <si>
    <t>Iteration</t>
  </si>
  <si>
    <t>Hospital</t>
  </si>
  <si>
    <t>Address</t>
  </si>
  <si>
    <t>COC Loc.</t>
  </si>
  <si>
    <t>Short Loc.</t>
  </si>
  <si>
    <t>Full Location</t>
  </si>
  <si>
    <t>Area</t>
  </si>
  <si>
    <t>Floor</t>
  </si>
  <si>
    <t>SG-1</t>
  </si>
  <si>
    <t>SG2-14</t>
  </si>
  <si>
    <t>Other</t>
  </si>
  <si>
    <t>Total</t>
  </si>
  <si>
    <t>Temp</t>
  </si>
  <si>
    <t>Free Cl2-</t>
  </si>
  <si>
    <t>Total Cl2-</t>
  </si>
  <si>
    <t>Disinfectant</t>
  </si>
  <si>
    <t>Primary Ox Lvl</t>
  </si>
  <si>
    <t>Normalized Oxidant</t>
  </si>
  <si>
    <t>Sample #</t>
  </si>
  <si>
    <t>Facility</t>
  </si>
  <si>
    <t>Sold-to</t>
  </si>
  <si>
    <t>Ship-to</t>
  </si>
  <si>
    <t>BA</t>
  </si>
  <si>
    <t>SAP Name</t>
  </si>
  <si>
    <t>Sales Rep</t>
  </si>
  <si>
    <t>District</t>
  </si>
  <si>
    <t>Phone #</t>
  </si>
  <si>
    <t>Email</t>
  </si>
  <si>
    <t>LEGION1 RL#</t>
  </si>
  <si>
    <t>LEGION RL#</t>
  </si>
  <si>
    <t>Full Sampling Point</t>
  </si>
  <si>
    <t>RLT_Q4</t>
  </si>
  <si>
    <t>Customer Email</t>
  </si>
  <si>
    <t>SNK</t>
  </si>
  <si>
    <t>Tap Outlet Cold</t>
  </si>
  <si>
    <t>PWC</t>
  </si>
  <si>
    <t>Tap Outlet Hot</t>
  </si>
  <si>
    <t>PWH</t>
  </si>
  <si>
    <t>LEGION1</t>
  </si>
  <si>
    <t>KMC</t>
  </si>
  <si>
    <t xml:space="preserve"> </t>
  </si>
  <si>
    <t>IM</t>
  </si>
  <si>
    <t>IC</t>
  </si>
  <si>
    <t>CW</t>
  </si>
  <si>
    <t>CT</t>
  </si>
  <si>
    <r>
      <t xml:space="preserve">FRO
</t>
    </r>
    <r>
      <rPr>
        <sz val="8"/>
        <color theme="1"/>
        <rFont val="Calibri"/>
        <family val="2"/>
        <scheme val="minor"/>
      </rPr>
      <t>(Cl</t>
    </r>
    <r>
      <rPr>
        <vertAlign val="subscript"/>
        <sz val="8"/>
        <color theme="1"/>
        <rFont val="Calibri"/>
        <family val="2"/>
        <scheme val="minor"/>
      </rPr>
      <t>2</t>
    </r>
    <r>
      <rPr>
        <sz val="8"/>
        <color theme="1"/>
        <rFont val="Calibri"/>
        <family val="2"/>
        <scheme val="minor"/>
      </rPr>
      <t>)</t>
    </r>
  </si>
  <si>
    <t xml:space="preserve">CW </t>
  </si>
  <si>
    <t>PWC OLD 2W241</t>
  </si>
  <si>
    <t>PWC NEW CCU ROOM 1</t>
  </si>
  <si>
    <t xml:space="preserve">PWH NEW  254 </t>
  </si>
  <si>
    <t>PWC NEW 254</t>
  </si>
  <si>
    <t>PWH NEW 259</t>
  </si>
  <si>
    <t>PWH NEW CCU ROOM 1</t>
  </si>
  <si>
    <t>PWH OLD 2W241</t>
  </si>
  <si>
    <t>PWH OLD 2W NURSE PANTRY ACROSS FROM 234</t>
  </si>
  <si>
    <t>PWH OLD 2E202</t>
  </si>
  <si>
    <t>ICE IM07 2W NURSE PANTRY ACROSS FROM 234</t>
  </si>
  <si>
    <t>IS146</t>
  </si>
  <si>
    <t>Evan Johnson; evan.johnson@ecolab.com</t>
  </si>
  <si>
    <t>MOB</t>
  </si>
  <si>
    <t>CP</t>
  </si>
  <si>
    <t>OLD</t>
  </si>
  <si>
    <t>NEW</t>
  </si>
  <si>
    <t>Supply</t>
  </si>
  <si>
    <t>Cooling Tower</t>
  </si>
  <si>
    <t>2W241</t>
  </si>
  <si>
    <t>CCU ROOM 1</t>
  </si>
  <si>
    <t>2W NURSE PANTRY ACROSS FROM 234</t>
  </si>
  <si>
    <t>E202</t>
  </si>
  <si>
    <t>W241</t>
  </si>
  <si>
    <t>Notes:</t>
  </si>
  <si>
    <t>Best Rep</t>
  </si>
  <si>
    <t>Best DM</t>
  </si>
  <si>
    <t>555.555.5555</t>
  </si>
  <si>
    <t>best.rep@email.com</t>
  </si>
  <si>
    <t>best.DM@email.com</t>
  </si>
  <si>
    <t>12345</t>
  </si>
  <si>
    <t>Best Medical Center</t>
  </si>
  <si>
    <t>123 Excellent Way</t>
  </si>
  <si>
    <t>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</si>
</sst>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6" formatCode="&quot;$&quot;#,##0_);[Red]\(&quot;$&quot;#,##0\)"/>
    <numFmt numFmtId="164" formatCode="m/d/yy;@"/>
    <numFmt numFmtId="165" formatCode="hh:mm\ AM/PM"/>
  </numFmts>
  <fonts count="2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8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indexed="8"/>
      <name val="Calibri"/>
      <family val="2"/>
      <scheme val="minor"/>
    </font>
    <font>
      <sz val="9"/>
      <color rgb="FF000000"/>
      <name val="Calibri"/>
      <family val="2"/>
    </font>
    <font>
      <u/>
      <sz val="11"/>
      <color theme="10"/>
      <name val="Arial Narrow"/>
      <family val="2"/>
    </font>
    <font>
      <sz val="11"/>
      <color theme="1"/>
      <name val="Arial Narrow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ACD"/>
        <bgColor indexed="64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0" fontId="21" fillId="0" borderId="0"/>
  </cellStyleXfs>
  <cellXfs count="77">
    <xf numFmtId="0" fontId="0" fillId="0" borderId="0" xfId="0"/>
    <xf numFmtId="0" fontId="3" fillId="2" borderId="0" xfId="0" applyFont="1" applyFill="1" applyAlignment="1"/>
    <xf numFmtId="0" fontId="4" fillId="0" borderId="0" xfId="0" applyFont="1" applyAlignment="1"/>
    <xf numFmtId="0" fontId="3" fillId="0" borderId="0" xfId="0" applyFont="1" applyFill="1" applyAlignment="1"/>
    <xf numFmtId="0" fontId="2" fillId="0" borderId="0" xfId="0" applyFont="1"/>
    <xf numFmtId="0" fontId="0" fillId="2" borderId="0" xfId="0" applyFill="1"/>
    <xf numFmtId="0" fontId="1" fillId="2" borderId="0" xfId="0" applyFont="1" applyFill="1"/>
    <xf numFmtId="0" fontId="13" fillId="0" borderId="1" xfId="0" applyFont="1" applyBorder="1"/>
    <xf numFmtId="164" fontId="13" fillId="0" borderId="1" xfId="0" applyNumberFormat="1" applyFont="1" applyBorder="1"/>
    <xf numFmtId="0" fontId="5" fillId="3" borderId="1" xfId="0" applyFont="1" applyFill="1" applyBorder="1" applyAlignment="1"/>
    <xf numFmtId="0" fontId="5" fillId="3" borderId="1" xfId="0" applyFont="1" applyFill="1" applyBorder="1" applyAlignment="1">
      <alignment horizontal="center" wrapText="1"/>
    </xf>
    <xf numFmtId="0" fontId="5" fillId="3" borderId="1" xfId="0" applyFont="1" applyFill="1" applyBorder="1" applyAlignment="1">
      <alignment wrapText="1"/>
    </xf>
    <xf numFmtId="164" fontId="13" fillId="0" borderId="1" xfId="0" applyNumberFormat="1" applyFont="1" applyBorder="1" applyAlignment="1">
      <alignment horizontal="center"/>
    </xf>
    <xf numFmtId="0" fontId="15" fillId="0" borderId="1" xfId="0" applyFont="1" applyBorder="1"/>
    <xf numFmtId="165" fontId="13" fillId="0" borderId="1" xfId="0" applyNumberFormat="1" applyFont="1" applyBorder="1" applyAlignment="1">
      <alignment horizontal="center"/>
    </xf>
    <xf numFmtId="0" fontId="13" fillId="0" borderId="8" xfId="0" applyFont="1" applyBorder="1" applyAlignment="1">
      <alignment horizontal="left"/>
    </xf>
    <xf numFmtId="0" fontId="5" fillId="3" borderId="8" xfId="0" applyFont="1" applyFill="1" applyBorder="1" applyAlignment="1">
      <alignment horizontal="left"/>
    </xf>
    <xf numFmtId="164" fontId="13" fillId="0" borderId="8" xfId="0" applyNumberFormat="1" applyFont="1" applyBorder="1" applyAlignment="1">
      <alignment horizontal="center"/>
    </xf>
    <xf numFmtId="0" fontId="5" fillId="3" borderId="8" xfId="0" applyFont="1" applyFill="1" applyBorder="1" applyAlignment="1"/>
    <xf numFmtId="0" fontId="5" fillId="3" borderId="1" xfId="0" applyNumberFormat="1" applyFont="1" applyFill="1" applyBorder="1" applyAlignment="1"/>
    <xf numFmtId="0" fontId="13" fillId="0" borderId="1" xfId="0" applyNumberFormat="1" applyFont="1" applyBorder="1" applyAlignment="1">
      <alignment horizontal="center"/>
    </xf>
    <xf numFmtId="0" fontId="0" fillId="0" borderId="0" xfId="0" applyNumberFormat="1"/>
    <xf numFmtId="0" fontId="20" fillId="4" borderId="11" xfId="0" applyFont="1" applyFill="1" applyBorder="1"/>
    <xf numFmtId="1" fontId="20" fillId="4" borderId="11" xfId="0" applyNumberFormat="1" applyFont="1" applyFill="1" applyBorder="1"/>
    <xf numFmtId="49" fontId="20" fillId="4" borderId="11" xfId="0" applyNumberFormat="1" applyFont="1" applyFill="1" applyBorder="1"/>
    <xf numFmtId="0" fontId="20" fillId="4" borderId="11" xfId="0" applyNumberFormat="1" applyFont="1" applyFill="1" applyBorder="1"/>
    <xf numFmtId="2" fontId="20" fillId="4" borderId="11" xfId="0" applyNumberFormat="1" applyFont="1" applyFill="1" applyBorder="1"/>
    <xf numFmtId="0" fontId="21" fillId="0" borderId="0" xfId="2"/>
    <xf numFmtId="49" fontId="21" fillId="0" borderId="0" xfId="2" applyNumberFormat="1"/>
    <xf numFmtId="49" fontId="18" fillId="0" borderId="0" xfId="2" applyNumberFormat="1" applyFont="1" applyBorder="1"/>
    <xf numFmtId="0" fontId="13" fillId="0" borderId="0" xfId="2" applyFont="1" applyBorder="1"/>
    <xf numFmtId="0" fontId="13" fillId="0" borderId="0" xfId="2" applyFont="1" applyBorder="1" applyAlignment="1">
      <alignment horizontal="left"/>
    </xf>
    <xf numFmtId="0" fontId="19" fillId="0" borderId="0" xfId="2" applyFont="1"/>
    <xf numFmtId="0" fontId="12" fillId="0" borderId="0" xfId="1"/>
    <xf numFmtId="0" fontId="19" fillId="0" borderId="0" xfId="0" applyFont="1"/>
    <xf numFmtId="0" fontId="21" fillId="0" borderId="0" xfId="2" applyNumberFormat="1"/>
    <xf numFmtId="0" fontId="20" fillId="4" borderId="12" xfId="0" applyFont="1" applyFill="1" applyBorder="1"/>
    <xf numFmtId="165" fontId="13" fillId="0" borderId="0" xfId="0" applyNumberFormat="1" applyFont="1" applyBorder="1" applyAlignment="1">
      <alignment horizontal="center"/>
    </xf>
    <xf numFmtId="164" fontId="22" fillId="0" borderId="1" xfId="0" applyNumberFormat="1" applyFont="1" applyFill="1" applyBorder="1" applyAlignment="1">
      <alignment horizontal="center"/>
    </xf>
    <xf numFmtId="165" fontId="22" fillId="0" borderId="1" xfId="0" applyNumberFormat="1" applyFont="1" applyFill="1" applyBorder="1" applyAlignment="1">
      <alignment horizontal="center"/>
    </xf>
    <xf numFmtId="0" fontId="22" fillId="0" borderId="1" xfId="0" applyFont="1" applyFill="1" applyBorder="1" applyAlignment="1">
      <alignment horizontal="left"/>
    </xf>
    <xf numFmtId="0" fontId="22" fillId="0" borderId="1" xfId="0" applyFont="1" applyFill="1" applyBorder="1"/>
    <xf numFmtId="0" fontId="22" fillId="0" borderId="1" xfId="0" applyFont="1" applyFill="1" applyBorder="1" applyAlignment="1">
      <alignment horizontal="center"/>
    </xf>
    <xf numFmtId="0" fontId="22" fillId="0" borderId="1" xfId="0" applyFont="1" applyFill="1" applyBorder="1" applyAlignment="1">
      <alignment horizontal="right"/>
    </xf>
    <xf numFmtId="165" fontId="0" fillId="0" borderId="0" xfId="0" applyNumberFormat="1" applyFont="1" applyBorder="1" applyAlignment="1">
      <alignment horizontal="center"/>
    </xf>
    <xf numFmtId="14" fontId="20" fillId="4" borderId="11" xfId="0" applyNumberFormat="1" applyFont="1" applyFill="1" applyBorder="1"/>
    <xf numFmtId="14" fontId="0" fillId="0" borderId="0" xfId="0" applyNumberFormat="1"/>
    <xf numFmtId="49" fontId="21" fillId="0" borderId="0" xfId="2" applyNumberFormat="1" applyAlignment="1">
      <alignment horizontal="left"/>
    </xf>
    <xf numFmtId="49" fontId="21" fillId="0" borderId="0" xfId="2" quotePrefix="1" applyNumberFormat="1"/>
    <xf numFmtId="49" fontId="12" fillId="0" borderId="0" xfId="1" applyNumberFormat="1"/>
    <xf numFmtId="164" fontId="22" fillId="0" borderId="1" xfId="0" applyNumberFormat="1" applyFont="1" applyBorder="1" applyAlignment="1">
      <alignment horizontal="center"/>
    </xf>
    <xf numFmtId="165" fontId="22" fillId="0" borderId="1" xfId="0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11" fontId="13" fillId="0" borderId="8" xfId="0" quotePrefix="1" applyNumberFormat="1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1" fillId="2" borderId="8" xfId="0" applyFont="1" applyFill="1" applyBorder="1" applyAlignment="1">
      <alignment horizontal="left"/>
    </xf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9" fillId="3" borderId="8" xfId="0" applyFont="1" applyFill="1" applyBorder="1" applyAlignment="1">
      <alignment horizontal="left"/>
    </xf>
    <xf numFmtId="0" fontId="9" fillId="3" borderId="9" xfId="0" applyFont="1" applyFill="1" applyBorder="1" applyAlignment="1">
      <alignment horizontal="left"/>
    </xf>
    <xf numFmtId="0" fontId="9" fillId="3" borderId="10" xfId="0" applyFont="1" applyFill="1" applyBorder="1" applyAlignment="1">
      <alignment horizontal="left"/>
    </xf>
    <xf numFmtId="0" fontId="23" fillId="0" borderId="5" xfId="1" applyFont="1" applyBorder="1" applyAlignment="1">
      <alignment horizontal="left" vertical="top" wrapText="1"/>
    </xf>
    <xf numFmtId="0" fontId="24" fillId="0" borderId="6" xfId="0" applyFont="1" applyBorder="1" applyAlignment="1">
      <alignment horizontal="left" vertical="top" wrapText="1"/>
    </xf>
    <xf numFmtId="0" fontId="24" fillId="0" borderId="7" xfId="0" applyFont="1" applyBorder="1" applyAlignment="1">
      <alignment horizontal="left" vertical="top" wrapText="1"/>
    </xf>
    <xf numFmtId="6" fontId="0" fillId="0" borderId="5" xfId="0" applyNumberFormat="1" applyBorder="1" applyAlignment="1">
      <alignment horizontal="left" vertical="top"/>
    </xf>
    <xf numFmtId="0" fontId="16" fillId="0" borderId="9" xfId="0" applyFont="1" applyBorder="1" applyAlignment="1">
      <alignment horizontal="left" vertical="center" wrapText="1"/>
    </xf>
    <xf numFmtId="0" fontId="0" fillId="0" borderId="1" xfId="0" applyBorder="1"/>
    <xf numFmtId="0" fontId="2" fillId="5" borderId="1" xfId="0" applyFont="1" applyFill="1" applyBorder="1"/>
  </cellXfs>
  <cellStyles count="3">
    <cellStyle name="Hyperlink" xfId="1" builtinId="8"/>
    <cellStyle name="Normal" xfId="0" builtinId="0"/>
    <cellStyle name="Normal 2" xfId="2" xr:uid="{1B6C8B33-6BC0-40DF-9E6B-D06A6E2A1511}"/>
  </cellStyles>
  <dxfs count="38">
    <dxf>
      <fill>
        <patternFill>
          <bgColor theme="4" tint="0.59996337778862885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9"/>
      </font>
      <numFmt numFmtId="165" formatCode="hh:mm\ AM/PM"/>
      <alignment horizontal="center" vertical="bottom" textRotation="0" wrapText="0" indent="0" justifyLastLine="0" shrinkToFit="0" readingOrder="0"/>
    </dxf>
    <dxf>
      <numFmt numFmtId="166" formatCode="m/d/yyyy"/>
    </dxf>
    <dxf>
      <numFmt numFmtId="0" formatCode="General"/>
    </dxf>
    <dxf>
      <border outline="0">
        <top style="medium">
          <color theme="1"/>
        </top>
      </border>
    </dxf>
    <dxf>
      <border outline="0"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rgb="FF007ACD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bgColor rgb="FF007ACD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1" defaultTableStyle="Rollup Table" defaultPivotStyle="PivotStyleLight16">
    <tableStyle name="Rollup Table" pivot="0" count="3" xr9:uid="{E946A6F8-A3C4-4097-8CA6-637FEA198621}">
      <tableStyleElement type="wholeTable" dxfId="37"/>
      <tableStyleElement type="headerRow" dxfId="36"/>
      <tableStyleElement type="firstRowStripe" dxfId="3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customXml" Target="../ink/ink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516460</xdr:colOff>
      <xdr:row>26</xdr:row>
      <xdr:rowOff>190180</xdr:rowOff>
    </xdr:from>
    <xdr:to>
      <xdr:col>8</xdr:col>
      <xdr:colOff>559300</xdr:colOff>
      <xdr:row>27</xdr:row>
      <xdr:rowOff>12640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9E49455E-2B34-A641-B743-0CA01B9EFF09}"/>
                </a:ext>
              </a:extLst>
            </xdr14:cNvPr>
            <xdr14:cNvContentPartPr/>
          </xdr14:nvContentPartPr>
          <xdr14:nvPr macro=""/>
          <xdr14:xfrm>
            <a:off x="3780360" y="5892480"/>
            <a:ext cx="42840" cy="129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9E49455E-2B34-A641-B743-0CA01B9EFF0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780360" y="5892840"/>
              <a:ext cx="4248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516460</xdr:colOff>
      <xdr:row>13</xdr:row>
      <xdr:rowOff>190180</xdr:rowOff>
    </xdr:from>
    <xdr:to>
      <xdr:col>3</xdr:col>
      <xdr:colOff>559300</xdr:colOff>
      <xdr:row>14</xdr:row>
      <xdr:rowOff>12640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1282E1F-6153-403D-9720-72AF5D70754A}"/>
                </a:ext>
              </a:extLst>
            </xdr14:cNvPr>
            <xdr14:cNvContentPartPr/>
          </xdr14:nvContentPartPr>
          <xdr14:nvPr macro=""/>
          <xdr14:xfrm>
            <a:off x="3780360" y="5892480"/>
            <a:ext cx="42840" cy="129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9E49455E-2B34-A641-B743-0CA01B9EFF0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780360" y="5892840"/>
              <a:ext cx="4248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516460</xdr:colOff>
      <xdr:row>11</xdr:row>
      <xdr:rowOff>190180</xdr:rowOff>
    </xdr:from>
    <xdr:to>
      <xdr:col>5</xdr:col>
      <xdr:colOff>559300</xdr:colOff>
      <xdr:row>12</xdr:row>
      <xdr:rowOff>12640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116FA64-0A9B-450F-BB79-BD05376112D4}"/>
                </a:ext>
              </a:extLst>
            </xdr14:cNvPr>
            <xdr14:cNvContentPartPr/>
          </xdr14:nvContentPartPr>
          <xdr14:nvPr macro=""/>
          <xdr14:xfrm>
            <a:off x="3780360" y="5892480"/>
            <a:ext cx="42840" cy="129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9E49455E-2B34-A641-B743-0CA01B9EFF0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780360" y="5892840"/>
              <a:ext cx="4248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8-08-25T16:37:58.324"/>
    </inkml:context>
    <inkml:brush xml:id="br0">
      <inkml:brushProperty name="width" value="0" units="cm"/>
      <inkml:brushProperty name="height" value="0" units="cm"/>
    </inkml:brush>
  </inkml:definitions>
  <inkml:trace contextRef="#ctx0" brushRef="#br0">0 36 20642,'0'-5'-512,"0"5"1,0-6 98,0 6 1,0 0-1,0 0 719,0 0 0,0 0-218,0 0 0,0 0 0,0 0 0,0 0 0,0 0 0,0 0 0,0 0 1,0 0-1,1-2-71,3-2-97,-2 3 1,8-4-158,-2 5 1,-2 0 4,2 0 1,0 0 26,4 0 0,0-2 205,-1-2 0,1 3 0,0-4 0,0 5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3-05T14:54:23.223"/>
    </inkml:context>
    <inkml:brush xml:id="br0">
      <inkml:brushProperty name="width" value="0" units="cm"/>
      <inkml:brushProperty name="height" value="0" units="cm"/>
    </inkml:brush>
  </inkml:definitions>
  <inkml:trace contextRef="#ctx0" brushRef="#br0">0 50 20642,'0'-6'-512,"0"6"1,0-10 98,0 10 1,0 0-1,0 0 719,0 0 0,0 0-218,0 0 0,0 0 0,0 0 0,0 0 0,0 0 0,0 0 0,0 0 1,0 0-1,1-3-71,3 0-97,-2-1 1,8-2-158,-2 6 1,-2 0 4,2 0 1,0 0 26,4 0 0,0-4 205,-1 1 0,1 0 0,0-4 0,0 7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3-12T16:43:00.383"/>
    </inkml:context>
    <inkml:brush xml:id="br0">
      <inkml:brushProperty name="width" value="0" units="cm"/>
      <inkml:brushProperty name="height" value="0" units="cm"/>
    </inkml:brush>
  </inkml:definitions>
  <inkml:trace contextRef="#ctx0" brushRef="#br0">0 36 20642,'0'-5'-512,"0"5"1,0-6 98,0 5 1,0 1-1,0 0 719,0 0 0,0 0-218,0 0 0,0 0 0,0 0 0,0 0 0,0 0 0,0 0 0,0 0 1,0 0-1,1-1-71,3-3-97,-2 3 1,8-4-158,-2 5 1,-2 0 4,2 0 1,0 0 26,4 0 0,0-2 205,-1-2 0,1 3 0,0-4 0,0 5 0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BE1036-BF79-4885-9DF2-E2F09F8F4584}" name="COCRollupTbl" displayName="COCRollupTbl" ref="A1:Z120" totalsRowShown="0" headerRowDxfId="34" headerRowBorderDxfId="33" tableBorderDxfId="32">
  <autoFilter ref="A1:Z120" xr:uid="{8AB88BAD-F1D8-4348-8168-4093B526564E}"/>
  <tableColumns count="26">
    <tableColumn id="1" xr3:uid="{D57779D4-8049-481E-BE16-B67518DF2138}" name="Text ID"/>
    <tableColumn id="2" xr3:uid="{5C5DC3C0-1A6E-43FB-BC02-DA04EA9B30E5}" name="COC #">
      <calculatedColumnFormula>COC!A15</calculatedColumnFormula>
    </tableColumn>
    <tableColumn id="3" xr3:uid="{1E57CBBD-AF36-4060-B4E2-1B09653A558C}" name="Avery #" dataDxfId="31">
      <calculatedColumnFormula>COC!N15</calculatedColumnFormula>
    </tableColumn>
    <tableColumn id="4" xr3:uid="{46DD0960-B203-46BB-BA16-2DAC0D074E27}" name="Sample Date" dataDxfId="30">
      <calculatedColumnFormula>IF(COC!C15="","",COC!C15)</calculatedColumnFormula>
    </tableColumn>
    <tableColumn id="5" xr3:uid="{D48359E6-831D-4C79-B42D-221BB9B35B92}" name="Sample Time" dataDxfId="29">
      <calculatedColumnFormula>IF(COC!D15="","",COC!D15)</calculatedColumnFormula>
    </tableColumn>
    <tableColumn id="6" xr3:uid="{673FA3E2-3F09-403D-A8B5-A512A43A0DA3}" name="Iteration"/>
    <tableColumn id="7" xr3:uid="{6C90ECFC-E7FF-40CD-8024-A55FD0CBEB74}" name="Hospital" dataDxfId="28">
      <calculatedColumnFormula>IF(COC!I15="","",INDEX(COCDV[Facility],MATCH(COC!$I$6,COCDV[SAP Name],0)))</calculatedColumnFormula>
    </tableColumn>
    <tableColumn id="8" xr3:uid="{8BCCECC7-DBB9-46CC-B1E2-63049FA0A459}" name="Address" dataDxfId="27">
      <calculatedColumnFormula>IF(COC!I15="","",INDEX(COCDV[Address],MATCH(COC!$I$6,COCDV[SAP Name],0)))</calculatedColumnFormula>
    </tableColumn>
    <tableColumn id="9" xr3:uid="{4B7534C7-63E9-441C-A037-849DC16B3A56}" name="COC Loc." dataDxfId="26">
      <calculatedColumnFormula>IF(COC!I15="","",COC!I15)</calculatedColumnFormula>
    </tableColumn>
    <tableColumn id="10" xr3:uid="{506B5067-4F9A-4325-BAAD-E4EA98CE0454}" name="Short Loc." dataDxfId="25">
      <calculatedColumnFormula>IF(COCRollupTbl[[#This Row],[COC Loc.]]="","",SplitString(COCRollupTbl[[#This Row],[COC Loc.]],2,", ")&amp;", "&amp;SplitString(COCRollupTbl[[#This Row],[COC Loc.]],3,", "))</calculatedColumnFormula>
    </tableColumn>
    <tableColumn id="11" xr3:uid="{2EF5123B-426E-4EEF-8CCB-930739C1C745}" name="Full Location" dataDxfId="24">
      <calculatedColumnFormula>IF(COCRollupTbl[[#This Row],[COC Loc.]]="","",COCRollupTbl[[#This Row],[Source]]&amp;", "&amp;COCRollupTbl[[#This Row],[Type]]&amp;", "&amp;COCRollupTbl[[#This Row],[COC Loc.]])</calculatedColumnFormula>
    </tableColumn>
    <tableColumn id="12" xr3:uid="{28FF376E-7AD7-4ACB-B482-32B79253978A}" name="Source" dataDxfId="23">
      <calculatedColumnFormula>IF(COC!E15="","",COC!E15)</calculatedColumnFormula>
    </tableColumn>
    <tableColumn id="13" xr3:uid="{CD55A5E0-5F12-49AA-87CF-4F086852A14C}" name="Type">
      <calculatedColumnFormula>IF(COC!H15="","",COC!H15)</calculatedColumnFormula>
    </tableColumn>
    <tableColumn id="14" xr3:uid="{D950E56B-A96C-416B-A2E2-BE4CE7F909F0}" name="Area" dataDxfId="22">
      <calculatedColumnFormula>IF(COCRollupTbl[[#This Row],[COC Loc.]]="","",SplitString(COCRollupTbl[[#This Row],[COC Loc.]],1,", "))</calculatedColumnFormula>
    </tableColumn>
    <tableColumn id="15" xr3:uid="{EFBC5146-EEF4-43BF-BFE4-9D78EF6A13AC}" name="Floor" dataDxfId="21">
      <calculatedColumnFormula>IF(COCRollupTbl[[#This Row],[COC Loc.]]="","",SplitString(COCRollupTbl[[#This Row],[COC Loc.]],2,", "))</calculatedColumnFormula>
    </tableColumn>
    <tableColumn id="16" xr3:uid="{FFAC1F24-608B-4ABB-98C2-C967F854A646}" name="SG-1"/>
    <tableColumn id="17" xr3:uid="{6137CD14-07A2-41FC-9658-1B7D52167538}" name="SG2-14"/>
    <tableColumn id="18" xr3:uid="{F083E506-EE81-4802-9BB6-1482F898AE15}" name="Other"/>
    <tableColumn id="19" xr3:uid="{8680F5C3-58CB-4C15-85CA-894AEEEE297C}" name="Total"/>
    <tableColumn id="20" xr3:uid="{346E370E-9FCF-495B-BA90-FA6D78F893F6}" name="Temp" dataDxfId="20">
      <calculatedColumnFormula>IF(COC!K15="","",COC!K15)</calculatedColumnFormula>
    </tableColumn>
    <tableColumn id="21" xr3:uid="{A5B34F0D-517F-4291-96F1-4789BA274EB3}" name="Free Cl2-">
      <calculatedColumnFormula>IF(COC!L15="","",COC!L15)</calculatedColumnFormula>
    </tableColumn>
    <tableColumn id="22" xr3:uid="{E7E62F90-3FF2-4FED-8927-778A4F1DABE4}" name="Total Cl2-">
      <calculatedColumnFormula>IF(COC!M15="","",COC!M15)</calculatedColumnFormula>
    </tableColumn>
    <tableColumn id="23" xr3:uid="{6FC5E943-0D7A-4C20-ADF1-19A365369179}" name="Disinfectant"/>
    <tableColumn id="24" xr3:uid="{A09EB0E6-CBD9-4F7A-9327-313A0E2A3D86}" name="Primary Ox Lvl" dataDxfId="19">
      <calculatedColumnFormula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calculatedColumnFormula>
    </tableColumn>
    <tableColumn id="25" xr3:uid="{D017BECC-7630-4D6C-882E-7DFEC82E7427}" name="Normalized Oxidant" dataDxfId="18">
      <calculatedColumnFormula>IF(COCRollupTbl[[#This Row],[Primary Ox Lvl]]="","",
IF(COCRollupTbl[[#This Row],[Disinfectant]]="Chlorine",COCRollupTbl[[#This Row],[Primary Ox Lvl]],
IF(COCRollupTbl[[#This Row],[Disinfectant]]="Chloramine",COCRollupTbl[[#This Row],[Primary Ox Lvl]]/2,"")))</calculatedColumnFormula>
    </tableColumn>
    <tableColumn id="26" xr3:uid="{5DB1BBDA-E919-491E-B2D2-0D751823DCE1}" name="Sample #"/>
  </tableColumns>
  <tableStyleInfo name="Rollup 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421F94-E0AA-4367-AB3A-52221F201394}" name="COCDV" displayName="COCDV" ref="A1:N5" totalsRowShown="0" headerRowDxfId="17" dataDxfId="16">
  <autoFilter ref="A1:N5" xr:uid="{DF43A7D2-A92F-43E9-8115-B19764BC6872}"/>
  <sortState xmlns:xlrd2="http://schemas.microsoft.com/office/spreadsheetml/2017/richdata2" ref="B2:E2">
    <sortCondition ref="B1:B2"/>
  </sortState>
  <tableColumns count="14">
    <tableColumn id="6" xr3:uid="{72E5D87A-47BC-4F5E-B3D1-D6CEA3FF0B1D}" name="SAP Name" dataDxfId="15" dataCellStyle="Normal 2"/>
    <tableColumn id="1" xr3:uid="{14295429-CB8C-42FF-8237-B01B85FFFDB8}" name="Facility" dataDxfId="14" dataCellStyle="Normal 2"/>
    <tableColumn id="2" xr3:uid="{43C83393-4125-43C4-AA5F-252EF84A4907}" name="Address" dataDxfId="13" dataCellStyle="Normal 2"/>
    <tableColumn id="3" xr3:uid="{2AE08477-8E0B-4F0C-953B-CCF23B4A2035}" name="Sold-to" dataDxfId="12" dataCellStyle="Normal 2"/>
    <tableColumn id="4" xr3:uid="{60EBB73A-D709-4F31-B285-F7FB682C5F4C}" name="Ship-to" dataDxfId="11" dataCellStyle="Normal 2"/>
    <tableColumn id="5" xr3:uid="{A986FA66-A675-4004-A973-9C8D4280C64E}" name="BA" dataDxfId="10" dataCellStyle="Normal 2"/>
    <tableColumn id="7" xr3:uid="{243BB7A5-C991-4D82-ADA4-D950BEE15974}" name="Sales Rep" dataDxfId="9"/>
    <tableColumn id="8" xr3:uid="{68E7A409-9FEF-4664-9FB0-E98125F1ED2A}" name="District" dataDxfId="8"/>
    <tableColumn id="9" xr3:uid="{3246176E-2731-4C8C-8644-86ABA2AFD112}" name="Phone #" dataDxfId="7"/>
    <tableColumn id="10" xr3:uid="{66E8DF52-6590-4C4C-81AF-1CE25FD36AEF}" name="Email" dataDxfId="6"/>
    <tableColumn id="11" xr3:uid="{8FD5FA63-063A-47E2-9265-7065633DDB6E}" name="LEGION1 RL#" dataDxfId="5"/>
    <tableColumn id="12" xr3:uid="{19DAC945-6F1C-4991-A6B6-D6FD5E7A6B7B}" name="LEGION RL#" dataDxfId="4"/>
    <tableColumn id="13" xr3:uid="{D05196D1-0142-44C9-B6DE-E3DD6D6D6448}" name="RLT_Q4" dataDxfId="3"/>
    <tableColumn id="14" xr3:uid="{21E5EF52-2FF7-433F-BA1D-5A0868E48872}" name="Customer Email" dataDxfId="2" dataCellStyle="Hyperlink"/>
  </tableColumns>
  <tableStyleInfo name="Rollup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195585-1A73-4622-B678-58E0D291FEE8}" name="RepDV" displayName="RepDV" ref="A8:D10" totalsRowShown="0" headerRowDxfId="1" headerRowCellStyle="Normal 2">
  <autoFilter ref="A8:D10" xr:uid="{A3B25333-8CD2-4F22-A558-DD5CA2D49BA5}"/>
  <tableColumns count="4">
    <tableColumn id="1" xr3:uid="{C70E68FE-2842-4878-BF3B-B23645708AF9}" name="Sales Rep" dataCellStyle="Normal 2"/>
    <tableColumn id="2" xr3:uid="{F7BB0C40-447B-4CC6-B917-546639D389F4}" name="District" dataCellStyle="Normal 2"/>
    <tableColumn id="3" xr3:uid="{DA9AD03C-5193-4B95-9E38-DB59D850956F}" name="Phone #"/>
    <tableColumn id="4" xr3:uid="{1BCD4D7C-37EF-4687-8A1D-41FAF6B3F0DD}" name="Email" dataCellStyle="Hyperlink"/>
  </tableColumns>
  <tableStyleInfo name="Rollu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mailto:best.rep@email.com" TargetMode="External"/><Relationship Id="rId1" Type="http://schemas.openxmlformats.org/officeDocument/2006/relationships/hyperlink" Target="mailto:best.DM@email.co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B30DA-70B3-4C85-B3A0-72A6A85BB756}">
  <sheetPr codeName="Sheet1"/>
  <dimension ref="A1:Q131"/>
  <sheetViews>
    <sheetView showGridLines="0" view="pageLayout" zoomScaleNormal="130" workbookViewId="0">
      <selection activeCell="I7" sqref="I7:K7"/>
    </sheetView>
  </sheetViews>
  <sheetFormatPr baseColWidth="10" defaultColWidth="8.83203125" defaultRowHeight="15" x14ac:dyDescent="0.2"/>
  <cols>
    <col min="1" max="1" width="4.83203125" customWidth="1"/>
    <col min="2" max="2" width="7.1640625" customWidth="1"/>
    <col min="3" max="3" width="8" customWidth="1"/>
    <col min="4" max="4" width="7.83203125" customWidth="1"/>
    <col min="5" max="5" width="5.5" customWidth="1"/>
    <col min="6" max="6" width="7" customWidth="1"/>
    <col min="7" max="7" width="4.33203125" customWidth="1"/>
    <col min="8" max="8" width="6.5" customWidth="1"/>
    <col min="9" max="9" width="31.33203125" customWidth="1"/>
    <col min="10" max="10" width="7.1640625" customWidth="1"/>
    <col min="11" max="12" width="5" customWidth="1"/>
    <col min="13" max="13" width="5.83203125" customWidth="1"/>
    <col min="14" max="14" width="6.83203125" customWidth="1"/>
    <col min="15" max="15" width="11.33203125" customWidth="1"/>
  </cols>
  <sheetData>
    <row r="1" spans="1:17" ht="19" x14ac:dyDescent="0.2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"/>
      <c r="Q1" s="3"/>
    </row>
    <row r="2" spans="1:17" x14ac:dyDescent="0.2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4" spans="1:17" x14ac:dyDescent="0.2">
      <c r="A4" s="6" t="s">
        <v>2</v>
      </c>
      <c r="B4" s="6"/>
      <c r="C4" s="6"/>
      <c r="D4" s="6"/>
      <c r="E4" s="6"/>
      <c r="F4" s="6"/>
      <c r="G4" s="6"/>
      <c r="H4" s="5"/>
      <c r="I4" s="6" t="s">
        <v>3</v>
      </c>
      <c r="J4" s="6"/>
      <c r="K4" s="6"/>
      <c r="L4" s="6"/>
      <c r="M4" s="6"/>
      <c r="N4" s="6"/>
      <c r="O4" s="6"/>
    </row>
    <row r="5" spans="1:17" x14ac:dyDescent="0.2">
      <c r="A5" s="54" t="s">
        <v>12</v>
      </c>
      <c r="B5" s="55"/>
      <c r="C5" s="55"/>
      <c r="D5" s="55"/>
      <c r="E5" s="55"/>
      <c r="F5" s="55"/>
      <c r="G5" s="55"/>
      <c r="H5" s="56"/>
      <c r="I5" s="54" t="s">
        <v>13</v>
      </c>
      <c r="J5" s="55"/>
      <c r="K5" s="56"/>
      <c r="L5" s="54" t="s">
        <v>14</v>
      </c>
      <c r="M5" s="55"/>
      <c r="N5" s="55"/>
      <c r="O5" s="56"/>
    </row>
    <row r="6" spans="1:17" ht="30" customHeight="1" x14ac:dyDescent="0.2">
      <c r="A6" s="57" t="str">
        <f>DV!A9&amp;" / "&amp;DV!C9&amp;" / "&amp;DV!D9</f>
        <v>Best Rep / 555.555.5555 / best.rep@email.com</v>
      </c>
      <c r="B6" s="58"/>
      <c r="C6" s="58"/>
      <c r="D6" s="58"/>
      <c r="E6" s="58"/>
      <c r="F6" s="58"/>
      <c r="G6" s="58"/>
      <c r="H6" s="59"/>
      <c r="I6" s="57" t="s">
        <v>118</v>
      </c>
      <c r="J6" s="58"/>
      <c r="K6" s="59"/>
      <c r="L6" s="60" t="str">
        <f>IF(I6="","",INDEX(COCDV[Ship-to],MATCH(I6,COCDV[SAP Name],0))&amp;"/"&amp;INDEX(COCDV[Sold-to],MATCH(I6,COCDV[SAP Name],0)))</f>
        <v>12345/12345</v>
      </c>
      <c r="M6" s="61"/>
      <c r="N6" s="61"/>
      <c r="O6" s="62"/>
    </row>
    <row r="7" spans="1:17" x14ac:dyDescent="0.2">
      <c r="A7" s="54" t="s">
        <v>10</v>
      </c>
      <c r="B7" s="55"/>
      <c r="C7" s="55"/>
      <c r="D7" s="55"/>
      <c r="E7" s="55"/>
      <c r="F7" s="55"/>
      <c r="G7" s="55"/>
      <c r="H7" s="56"/>
      <c r="I7" s="54" t="s">
        <v>11</v>
      </c>
      <c r="J7" s="55"/>
      <c r="K7" s="56"/>
      <c r="L7" s="54" t="s">
        <v>15</v>
      </c>
      <c r="M7" s="55"/>
      <c r="N7" s="55"/>
      <c r="O7" s="56"/>
    </row>
    <row r="8" spans="1:17" ht="30" customHeight="1" x14ac:dyDescent="0.2">
      <c r="A8" s="60" t="s">
        <v>99</v>
      </c>
      <c r="B8" s="61"/>
      <c r="C8" s="61"/>
      <c r="D8" s="61"/>
      <c r="E8" s="61"/>
      <c r="F8" s="61"/>
      <c r="G8" s="61"/>
      <c r="H8" s="62"/>
      <c r="I8" s="57" t="str">
        <f>IF(I6="","",INDEX(COCDV[Address],MATCH(COC!$I$6,COCDV[SAP Name],0)))</f>
        <v>123 Excellent Way</v>
      </c>
      <c r="J8" s="61"/>
      <c r="K8" s="62"/>
      <c r="L8" s="60" t="str">
        <f>IF(I6="","",INDEX(COCDV[BA],MATCH(I6,COCDV[SAP Name],0)))</f>
        <v>9999</v>
      </c>
      <c r="M8" s="61"/>
      <c r="N8" s="61"/>
      <c r="O8" s="62"/>
    </row>
    <row r="9" spans="1:17" x14ac:dyDescent="0.2">
      <c r="A9" s="54" t="s">
        <v>16</v>
      </c>
      <c r="B9" s="55"/>
      <c r="C9" s="55"/>
      <c r="D9" s="55"/>
      <c r="E9" s="55"/>
      <c r="F9" s="55"/>
      <c r="G9" s="55"/>
      <c r="H9" s="56"/>
      <c r="I9" s="54" t="s">
        <v>17</v>
      </c>
      <c r="J9" s="55"/>
      <c r="K9" s="56"/>
      <c r="L9" s="54" t="s">
        <v>18</v>
      </c>
      <c r="M9" s="55"/>
      <c r="N9" s="55"/>
      <c r="O9" s="56"/>
    </row>
    <row r="10" spans="1:17" ht="30" customHeight="1" x14ac:dyDescent="0.2">
      <c r="A10" s="57"/>
      <c r="B10" s="61"/>
      <c r="C10" s="61"/>
      <c r="D10" s="61"/>
      <c r="E10" s="61"/>
      <c r="F10" s="61"/>
      <c r="G10" s="61"/>
      <c r="H10" s="62"/>
      <c r="I10" s="70">
        <f>IF(I6="","",INDEX(COCDV[Customer Email],MATCH(COC!I6,COCDV[SAP Name],0)))</f>
        <v>0</v>
      </c>
      <c r="J10" s="71"/>
      <c r="K10" s="72"/>
      <c r="L10" s="73"/>
      <c r="M10" s="61"/>
      <c r="N10" s="61"/>
      <c r="O10" s="62"/>
    </row>
    <row r="11" spans="1:17" ht="30" customHeight="1" x14ac:dyDescent="0.2">
      <c r="A11" s="74" t="s">
        <v>27</v>
      </c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</row>
    <row r="12" spans="1:17" ht="30" customHeight="1" x14ac:dyDescent="0.2">
      <c r="A12" s="63" t="s">
        <v>19</v>
      </c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</row>
    <row r="13" spans="1:17" ht="30" customHeight="1" x14ac:dyDescent="0.2">
      <c r="A13" s="64" t="s">
        <v>20</v>
      </c>
      <c r="B13" s="65"/>
      <c r="C13" s="65"/>
      <c r="D13" s="65"/>
      <c r="E13" s="65"/>
      <c r="F13" s="65"/>
      <c r="G13" s="65"/>
      <c r="H13" s="65"/>
      <c r="I13" s="65"/>
      <c r="J13" s="66"/>
      <c r="K13" s="67" t="s">
        <v>21</v>
      </c>
      <c r="L13" s="68"/>
      <c r="M13" s="68"/>
      <c r="N13" s="68"/>
      <c r="O13" s="69"/>
    </row>
    <row r="14" spans="1:17" s="4" customFormat="1" ht="30" customHeight="1" x14ac:dyDescent="0.2">
      <c r="A14" s="9" t="s">
        <v>4</v>
      </c>
      <c r="B14" s="9" t="s">
        <v>5</v>
      </c>
      <c r="C14" s="10" t="s">
        <v>26</v>
      </c>
      <c r="D14" s="10" t="s">
        <v>6</v>
      </c>
      <c r="E14" s="9" t="s">
        <v>22</v>
      </c>
      <c r="F14" s="9" t="s">
        <v>47</v>
      </c>
      <c r="G14" s="9" t="s">
        <v>48</v>
      </c>
      <c r="H14" s="9" t="s">
        <v>23</v>
      </c>
      <c r="I14" s="9" t="s">
        <v>24</v>
      </c>
      <c r="J14" s="10" t="s">
        <v>7</v>
      </c>
      <c r="K14" s="10" t="s">
        <v>8</v>
      </c>
      <c r="L14" s="10" t="s">
        <v>86</v>
      </c>
      <c r="M14" s="10" t="s">
        <v>9</v>
      </c>
      <c r="N14" s="11" t="s">
        <v>36</v>
      </c>
      <c r="O14" s="76" t="s">
        <v>111</v>
      </c>
    </row>
    <row r="15" spans="1:17" x14ac:dyDescent="0.2">
      <c r="A15" s="13">
        <v>1</v>
      </c>
      <c r="B15" s="7" t="s">
        <v>79</v>
      </c>
      <c r="C15" s="50">
        <v>44361</v>
      </c>
      <c r="D15" s="51">
        <v>0.58333333333333337</v>
      </c>
      <c r="E15" s="7" t="s">
        <v>84</v>
      </c>
      <c r="F15" s="7" t="s">
        <v>100</v>
      </c>
      <c r="G15" s="7">
        <v>1</v>
      </c>
      <c r="H15" s="7" t="s">
        <v>104</v>
      </c>
      <c r="I15" s="15" t="s">
        <v>105</v>
      </c>
      <c r="J15" s="52" t="s">
        <v>80</v>
      </c>
      <c r="K15" s="41">
        <v>78</v>
      </c>
      <c r="L15" s="41">
        <v>0.04</v>
      </c>
      <c r="M15" s="41"/>
      <c r="N15" s="7">
        <v>1234</v>
      </c>
      <c r="O15" s="75"/>
    </row>
    <row r="16" spans="1:17" x14ac:dyDescent="0.2">
      <c r="A16" s="13">
        <v>2</v>
      </c>
      <c r="B16" s="7" t="s">
        <v>79</v>
      </c>
      <c r="C16" s="50">
        <v>44361</v>
      </c>
      <c r="D16" s="51">
        <v>0.58333333333333337</v>
      </c>
      <c r="E16" s="7" t="s">
        <v>87</v>
      </c>
      <c r="F16" s="7" t="s">
        <v>101</v>
      </c>
      <c r="G16" s="7">
        <v>1</v>
      </c>
      <c r="H16" s="7" t="s">
        <v>85</v>
      </c>
      <c r="I16" s="15" t="s">
        <v>105</v>
      </c>
      <c r="J16" s="52" t="s">
        <v>80</v>
      </c>
      <c r="K16" s="41">
        <v>79</v>
      </c>
      <c r="L16" s="41">
        <v>1.2</v>
      </c>
      <c r="M16" s="41"/>
      <c r="N16" s="7">
        <v>1235</v>
      </c>
      <c r="O16" s="75"/>
    </row>
    <row r="17" spans="1:15" x14ac:dyDescent="0.2">
      <c r="A17" s="13">
        <v>3</v>
      </c>
      <c r="B17" s="7" t="s">
        <v>79</v>
      </c>
      <c r="C17" s="50">
        <v>44361</v>
      </c>
      <c r="D17" s="51">
        <v>0.58333333333333337</v>
      </c>
      <c r="E17" s="7" t="s">
        <v>76</v>
      </c>
      <c r="F17" s="7" t="s">
        <v>102</v>
      </c>
      <c r="G17" s="7">
        <v>2</v>
      </c>
      <c r="H17" s="7" t="s">
        <v>74</v>
      </c>
      <c r="I17" s="15" t="s">
        <v>110</v>
      </c>
      <c r="J17" s="52" t="s">
        <v>80</v>
      </c>
      <c r="K17" s="41">
        <v>72</v>
      </c>
      <c r="L17" s="41"/>
      <c r="M17" s="41">
        <v>0.8</v>
      </c>
      <c r="N17" s="7">
        <v>1236</v>
      </c>
      <c r="O17" s="75"/>
    </row>
    <row r="18" spans="1:15" x14ac:dyDescent="0.2">
      <c r="A18" s="13">
        <v>4</v>
      </c>
      <c r="B18" s="7" t="s">
        <v>79</v>
      </c>
      <c r="C18" s="50">
        <v>44361</v>
      </c>
      <c r="D18" s="51">
        <v>0.58333333333333337</v>
      </c>
      <c r="E18" s="7" t="s">
        <v>76</v>
      </c>
      <c r="F18" s="7" t="s">
        <v>103</v>
      </c>
      <c r="G18" s="7">
        <v>1</v>
      </c>
      <c r="H18" s="7" t="s">
        <v>74</v>
      </c>
      <c r="I18" s="15" t="s">
        <v>107</v>
      </c>
      <c r="J18" s="52" t="s">
        <v>80</v>
      </c>
      <c r="K18" s="41">
        <v>69</v>
      </c>
      <c r="L18" s="41"/>
      <c r="M18" s="41">
        <v>1.4</v>
      </c>
      <c r="N18" s="7">
        <v>1237</v>
      </c>
      <c r="O18" s="75"/>
    </row>
    <row r="19" spans="1:15" x14ac:dyDescent="0.2">
      <c r="A19" s="13">
        <v>5</v>
      </c>
      <c r="B19" s="7" t="s">
        <v>79</v>
      </c>
      <c r="C19" s="50">
        <v>44361</v>
      </c>
      <c r="D19" s="51">
        <v>0.58333333333333337</v>
      </c>
      <c r="E19" s="7" t="s">
        <v>76</v>
      </c>
      <c r="F19" s="7" t="s">
        <v>103</v>
      </c>
      <c r="G19" s="7">
        <v>2</v>
      </c>
      <c r="H19" s="7" t="s">
        <v>74</v>
      </c>
      <c r="I19" s="15">
        <v>254</v>
      </c>
      <c r="J19" s="52" t="s">
        <v>80</v>
      </c>
      <c r="K19" s="41">
        <v>70</v>
      </c>
      <c r="L19" s="41"/>
      <c r="M19" s="41">
        <v>1.2</v>
      </c>
      <c r="N19" s="7">
        <v>1238</v>
      </c>
      <c r="O19" s="75"/>
    </row>
    <row r="20" spans="1:15" x14ac:dyDescent="0.2">
      <c r="A20" s="13">
        <v>6</v>
      </c>
      <c r="B20" s="7" t="s">
        <v>79</v>
      </c>
      <c r="C20" s="50">
        <v>44361</v>
      </c>
      <c r="D20" s="51">
        <v>0.58333333333333337</v>
      </c>
      <c r="E20" s="7" t="s">
        <v>78</v>
      </c>
      <c r="F20" s="7" t="s">
        <v>103</v>
      </c>
      <c r="G20" s="7">
        <v>2</v>
      </c>
      <c r="H20" s="7" t="s">
        <v>74</v>
      </c>
      <c r="I20" s="15">
        <v>254</v>
      </c>
      <c r="J20" s="52" t="s">
        <v>80</v>
      </c>
      <c r="K20" s="41">
        <v>114</v>
      </c>
      <c r="L20" s="41"/>
      <c r="M20" s="41">
        <v>0.2</v>
      </c>
      <c r="N20" s="7">
        <v>1239</v>
      </c>
      <c r="O20" s="75"/>
    </row>
    <row r="21" spans="1:15" x14ac:dyDescent="0.2">
      <c r="A21" s="13">
        <v>7</v>
      </c>
      <c r="B21" s="7" t="s">
        <v>79</v>
      </c>
      <c r="C21" s="50">
        <v>44361</v>
      </c>
      <c r="D21" s="51">
        <v>0.58333333333333337</v>
      </c>
      <c r="E21" s="7" t="s">
        <v>78</v>
      </c>
      <c r="F21" s="7" t="s">
        <v>103</v>
      </c>
      <c r="G21" s="7">
        <v>2</v>
      </c>
      <c r="H21" s="7" t="s">
        <v>74</v>
      </c>
      <c r="I21" s="15">
        <v>259</v>
      </c>
      <c r="J21" s="52" t="s">
        <v>80</v>
      </c>
      <c r="K21" s="41">
        <v>116</v>
      </c>
      <c r="L21" s="41"/>
      <c r="M21" s="41">
        <v>0.4</v>
      </c>
      <c r="N21" s="7">
        <v>1240</v>
      </c>
      <c r="O21" s="75"/>
    </row>
    <row r="22" spans="1:15" x14ac:dyDescent="0.2">
      <c r="A22" s="13">
        <v>8</v>
      </c>
      <c r="B22" s="7" t="s">
        <v>79</v>
      </c>
      <c r="C22" s="50">
        <v>44361</v>
      </c>
      <c r="D22" s="51">
        <v>0.58333333333333337</v>
      </c>
      <c r="E22" s="7" t="s">
        <v>78</v>
      </c>
      <c r="F22" s="7" t="s">
        <v>103</v>
      </c>
      <c r="G22" s="7">
        <v>1</v>
      </c>
      <c r="H22" s="7" t="s">
        <v>74</v>
      </c>
      <c r="I22" s="15" t="s">
        <v>107</v>
      </c>
      <c r="J22" s="52" t="s">
        <v>80</v>
      </c>
      <c r="K22" s="41">
        <v>118</v>
      </c>
      <c r="L22" s="41"/>
      <c r="M22" s="41">
        <v>0.3</v>
      </c>
      <c r="N22" s="7">
        <v>1241</v>
      </c>
      <c r="O22" s="75"/>
    </row>
    <row r="23" spans="1:15" x14ac:dyDescent="0.2">
      <c r="A23" s="13">
        <v>9</v>
      </c>
      <c r="B23" s="7" t="s">
        <v>79</v>
      </c>
      <c r="C23" s="50">
        <v>44361</v>
      </c>
      <c r="D23" s="51">
        <v>0.58333333333333337</v>
      </c>
      <c r="E23" s="7" t="s">
        <v>78</v>
      </c>
      <c r="F23" s="7" t="s">
        <v>102</v>
      </c>
      <c r="G23" s="7">
        <v>2</v>
      </c>
      <c r="H23" s="7" t="s">
        <v>74</v>
      </c>
      <c r="I23" s="15" t="s">
        <v>106</v>
      </c>
      <c r="J23" s="52" t="s">
        <v>80</v>
      </c>
      <c r="K23" s="41">
        <v>108</v>
      </c>
      <c r="L23" s="41"/>
      <c r="M23" s="41">
        <v>0.08</v>
      </c>
      <c r="N23" s="7">
        <v>1242</v>
      </c>
      <c r="O23" s="75"/>
    </row>
    <row r="24" spans="1:15" x14ac:dyDescent="0.2">
      <c r="A24" s="13">
        <v>10</v>
      </c>
      <c r="B24" s="7" t="s">
        <v>79</v>
      </c>
      <c r="C24" s="50">
        <v>44361</v>
      </c>
      <c r="D24" s="51">
        <v>0.58333333333333337</v>
      </c>
      <c r="E24" s="7" t="s">
        <v>78</v>
      </c>
      <c r="F24" s="7" t="s">
        <v>102</v>
      </c>
      <c r="G24" s="7">
        <v>2</v>
      </c>
      <c r="H24" s="7" t="s">
        <v>74</v>
      </c>
      <c r="I24" s="15" t="s">
        <v>108</v>
      </c>
      <c r="J24" s="52" t="s">
        <v>80</v>
      </c>
      <c r="K24" s="41">
        <v>117</v>
      </c>
      <c r="L24" s="41"/>
      <c r="M24" s="41">
        <v>0.6</v>
      </c>
      <c r="N24" s="7">
        <v>1243</v>
      </c>
      <c r="O24" s="75"/>
    </row>
    <row r="25" spans="1:15" x14ac:dyDescent="0.2">
      <c r="A25" s="13">
        <v>11</v>
      </c>
      <c r="B25" s="7" t="s">
        <v>79</v>
      </c>
      <c r="C25" s="50">
        <v>44361</v>
      </c>
      <c r="D25" s="51">
        <v>0.58333333333333337</v>
      </c>
      <c r="E25" s="7" t="s">
        <v>78</v>
      </c>
      <c r="F25" s="7" t="s">
        <v>102</v>
      </c>
      <c r="G25" s="7">
        <v>2</v>
      </c>
      <c r="H25" s="7" t="s">
        <v>74</v>
      </c>
      <c r="I25" s="53" t="s">
        <v>109</v>
      </c>
      <c r="J25" s="52" t="s">
        <v>80</v>
      </c>
      <c r="K25" s="41">
        <v>116</v>
      </c>
      <c r="L25" s="41"/>
      <c r="M25" s="41">
        <v>0.3</v>
      </c>
      <c r="N25" s="7">
        <v>1244</v>
      </c>
      <c r="O25" s="75"/>
    </row>
    <row r="26" spans="1:15" x14ac:dyDescent="0.2">
      <c r="A26" s="13">
        <v>12</v>
      </c>
      <c r="B26" s="7" t="s">
        <v>79</v>
      </c>
      <c r="C26" s="50">
        <v>44361</v>
      </c>
      <c r="D26" s="51">
        <v>0.58333333333333337</v>
      </c>
      <c r="E26" s="7" t="s">
        <v>83</v>
      </c>
      <c r="F26" s="7" t="s">
        <v>102</v>
      </c>
      <c r="G26" s="7">
        <v>2</v>
      </c>
      <c r="H26" s="7" t="s">
        <v>82</v>
      </c>
      <c r="I26" s="15" t="s">
        <v>97</v>
      </c>
      <c r="J26" s="52" t="s">
        <v>80</v>
      </c>
      <c r="K26" s="41"/>
      <c r="L26" s="41"/>
      <c r="M26" s="41"/>
      <c r="N26" s="7">
        <v>1245</v>
      </c>
      <c r="O26" s="75"/>
    </row>
    <row r="27" spans="1:15" x14ac:dyDescent="0.2">
      <c r="A27" s="13">
        <v>13</v>
      </c>
      <c r="B27" s="7"/>
      <c r="C27" s="50"/>
      <c r="D27" s="51"/>
      <c r="E27" s="7"/>
      <c r="F27" s="7"/>
      <c r="G27" s="7"/>
      <c r="H27" s="7"/>
      <c r="I27" s="15"/>
      <c r="J27" s="52"/>
      <c r="K27" s="43"/>
      <c r="L27" s="43"/>
      <c r="M27" s="43"/>
      <c r="N27" s="43"/>
      <c r="O27" s="7" t="str">
        <f>IF('LIMS Data Entry'!I14="","",'LIMS Data Entry'!I14)</f>
        <v/>
      </c>
    </row>
    <row r="28" spans="1:15" x14ac:dyDescent="0.2">
      <c r="A28" s="13">
        <v>14</v>
      </c>
      <c r="B28" s="7"/>
      <c r="C28" s="50"/>
      <c r="D28" s="51"/>
      <c r="E28" s="7"/>
      <c r="F28" s="7"/>
      <c r="G28" s="7"/>
      <c r="H28" s="7"/>
      <c r="I28" s="15"/>
      <c r="J28" s="52"/>
      <c r="K28" s="41"/>
      <c r="L28" s="41"/>
      <c r="M28" s="41"/>
      <c r="N28" s="41"/>
      <c r="O28" s="7" t="str">
        <f>IF('LIMS Data Entry'!I15="","",'LIMS Data Entry'!I15)</f>
        <v/>
      </c>
    </row>
    <row r="29" spans="1:15" x14ac:dyDescent="0.2">
      <c r="A29" s="13">
        <v>15</v>
      </c>
      <c r="B29" s="7"/>
      <c r="C29" s="50"/>
      <c r="D29" s="51"/>
      <c r="E29" s="40"/>
      <c r="F29" s="40"/>
      <c r="G29" s="40"/>
      <c r="H29" s="40"/>
      <c r="I29" s="41"/>
      <c r="J29" s="42"/>
      <c r="K29" s="41"/>
      <c r="L29" s="41"/>
      <c r="M29" s="41"/>
      <c r="N29" s="41"/>
      <c r="O29" s="7" t="str">
        <f>IF('LIMS Data Entry'!I16="","",'LIMS Data Entry'!I16)</f>
        <v/>
      </c>
    </row>
    <row r="30" spans="1:15" x14ac:dyDescent="0.2">
      <c r="A30" s="13">
        <v>16</v>
      </c>
      <c r="B30" s="7"/>
      <c r="C30" s="50"/>
      <c r="D30" s="51"/>
      <c r="E30" s="40"/>
      <c r="F30" s="40"/>
      <c r="G30" s="40"/>
      <c r="H30" s="40"/>
      <c r="I30" s="41"/>
      <c r="J30" s="42"/>
      <c r="K30" s="41"/>
      <c r="L30" s="41"/>
      <c r="M30" s="41"/>
      <c r="N30" s="41"/>
      <c r="O30" s="7" t="str">
        <f>IF('LIMS Data Entry'!I17="","",'LIMS Data Entry'!I17)</f>
        <v/>
      </c>
    </row>
    <row r="31" spans="1:15" x14ac:dyDescent="0.2">
      <c r="A31" s="13">
        <v>17</v>
      </c>
      <c r="B31" s="7"/>
      <c r="C31" s="50"/>
      <c r="D31" s="51"/>
      <c r="E31" s="40"/>
      <c r="F31" s="40"/>
      <c r="G31" s="40"/>
      <c r="H31" s="40"/>
      <c r="I31" s="41"/>
      <c r="J31" s="42"/>
      <c r="K31" s="41"/>
      <c r="L31" s="41"/>
      <c r="M31" s="41"/>
      <c r="N31" s="41"/>
      <c r="O31" s="7" t="str">
        <f>IF('LIMS Data Entry'!I18="","",'LIMS Data Entry'!I18)</f>
        <v/>
      </c>
    </row>
    <row r="32" spans="1:15" x14ac:dyDescent="0.2">
      <c r="A32" s="13">
        <v>18</v>
      </c>
      <c r="B32" s="7"/>
      <c r="C32" s="50"/>
      <c r="D32" s="51"/>
      <c r="E32" s="40"/>
      <c r="F32" s="40"/>
      <c r="G32" s="40"/>
      <c r="H32" s="40"/>
      <c r="I32" s="41"/>
      <c r="J32" s="42"/>
      <c r="K32" s="41"/>
      <c r="L32" s="41"/>
      <c r="M32" s="41"/>
      <c r="N32" s="41"/>
      <c r="O32" s="7" t="str">
        <f>IF('LIMS Data Entry'!I19="","",'LIMS Data Entry'!I19)</f>
        <v/>
      </c>
    </row>
    <row r="33" spans="1:15" x14ac:dyDescent="0.2">
      <c r="A33" s="13">
        <v>19</v>
      </c>
      <c r="B33" s="7"/>
      <c r="C33" s="38"/>
      <c r="D33" s="39"/>
      <c r="E33" s="40"/>
      <c r="F33" s="40"/>
      <c r="G33" s="40"/>
      <c r="H33" s="40"/>
      <c r="I33" s="41"/>
      <c r="J33" s="42"/>
      <c r="K33" s="41"/>
      <c r="L33" s="41"/>
      <c r="M33" s="41"/>
      <c r="N33" s="41"/>
      <c r="O33" s="7" t="str">
        <f>IF('LIMS Data Entry'!I20="","",'LIMS Data Entry'!I20)</f>
        <v/>
      </c>
    </row>
    <row r="34" spans="1:15" x14ac:dyDescent="0.2">
      <c r="A34" s="13">
        <v>20</v>
      </c>
      <c r="B34" s="7"/>
      <c r="C34" s="38"/>
      <c r="D34" s="39"/>
      <c r="E34" s="40"/>
      <c r="F34" s="40"/>
      <c r="G34" s="40"/>
      <c r="H34" s="40"/>
      <c r="I34" s="41"/>
      <c r="J34" s="42"/>
      <c r="K34" s="41"/>
      <c r="L34" s="41"/>
      <c r="M34" s="41"/>
      <c r="N34" s="41"/>
      <c r="O34" s="7" t="str">
        <f>IF('LIMS Data Entry'!I21="","",'LIMS Data Entry'!I21)</f>
        <v/>
      </c>
    </row>
    <row r="35" spans="1:15" x14ac:dyDescent="0.2">
      <c r="A35" s="13">
        <v>21</v>
      </c>
      <c r="B35" s="7"/>
      <c r="C35" s="38"/>
      <c r="D35" s="39"/>
      <c r="E35" s="40"/>
      <c r="F35" s="40"/>
      <c r="G35" s="40"/>
      <c r="H35" s="40"/>
      <c r="I35" s="41"/>
      <c r="J35" s="42"/>
      <c r="K35" s="41"/>
      <c r="L35" s="41"/>
      <c r="M35" s="41"/>
      <c r="N35" s="41"/>
      <c r="O35" s="7" t="str">
        <f>IF('LIMS Data Entry'!I22="","",'LIMS Data Entry'!I22)</f>
        <v/>
      </c>
    </row>
    <row r="36" spans="1:15" x14ac:dyDescent="0.2">
      <c r="A36" s="13">
        <v>22</v>
      </c>
      <c r="B36" s="7" t="str">
        <f t="shared" ref="B36:B79" si="0">IF(E36="","",IF(OR(E36="PWC",E36="PWH",E36="PWM",E36="IC"),"LEGION1",IF(E36="CW","LEGION","ERROR")))</f>
        <v/>
      </c>
      <c r="C36" s="38"/>
      <c r="D36" s="39"/>
      <c r="E36" s="40"/>
      <c r="F36" s="40"/>
      <c r="G36" s="40"/>
      <c r="H36" s="40"/>
      <c r="I36" s="41"/>
      <c r="J36" s="42"/>
      <c r="K36" s="41"/>
      <c r="L36" s="41"/>
      <c r="M36" s="41"/>
      <c r="N36" s="41"/>
      <c r="O36" s="7" t="str">
        <f>IF('LIMS Data Entry'!I23="","",'LIMS Data Entry'!I23)</f>
        <v/>
      </c>
    </row>
    <row r="37" spans="1:15" x14ac:dyDescent="0.2">
      <c r="A37" s="13">
        <v>23</v>
      </c>
      <c r="B37" s="7" t="str">
        <f t="shared" si="0"/>
        <v/>
      </c>
      <c r="C37" s="38"/>
      <c r="D37" s="39"/>
      <c r="E37" s="40"/>
      <c r="F37" s="40"/>
      <c r="G37" s="40"/>
      <c r="H37" s="40"/>
      <c r="I37" s="41"/>
      <c r="J37" s="42"/>
      <c r="K37" s="41"/>
      <c r="L37" s="41"/>
      <c r="M37" s="41"/>
      <c r="N37" s="41"/>
      <c r="O37" s="7" t="str">
        <f>IF('LIMS Data Entry'!I24="","",'LIMS Data Entry'!I24)</f>
        <v/>
      </c>
    </row>
    <row r="38" spans="1:15" x14ac:dyDescent="0.2">
      <c r="A38" s="13">
        <v>24</v>
      </c>
      <c r="B38" s="7" t="str">
        <f t="shared" si="0"/>
        <v/>
      </c>
      <c r="C38" s="38"/>
      <c r="D38" s="39"/>
      <c r="E38" s="40"/>
      <c r="F38" s="40"/>
      <c r="G38" s="40"/>
      <c r="H38" s="40"/>
      <c r="I38" s="41"/>
      <c r="J38" s="42"/>
      <c r="K38" s="41"/>
      <c r="L38" s="41"/>
      <c r="M38" s="41"/>
      <c r="N38" s="41"/>
      <c r="O38" s="7" t="str">
        <f>IF('LIMS Data Entry'!I25="","",'LIMS Data Entry'!I25)</f>
        <v/>
      </c>
    </row>
    <row r="39" spans="1:15" x14ac:dyDescent="0.2">
      <c r="A39" s="13">
        <v>25</v>
      </c>
      <c r="B39" s="7" t="str">
        <f t="shared" si="0"/>
        <v/>
      </c>
      <c r="C39" s="38"/>
      <c r="D39" s="39"/>
      <c r="E39" s="40"/>
      <c r="F39" s="40"/>
      <c r="G39" s="40"/>
      <c r="H39" s="40"/>
      <c r="I39" s="41"/>
      <c r="J39" s="42"/>
      <c r="K39" s="41"/>
      <c r="L39" s="41"/>
      <c r="M39" s="41"/>
      <c r="N39" s="41"/>
      <c r="O39" s="7" t="str">
        <f>IF('LIMS Data Entry'!I26="","",'LIMS Data Entry'!I26)</f>
        <v/>
      </c>
    </row>
    <row r="40" spans="1:15" x14ac:dyDescent="0.2">
      <c r="A40" s="13">
        <v>26</v>
      </c>
      <c r="B40" s="7" t="str">
        <f t="shared" si="0"/>
        <v/>
      </c>
      <c r="C40" s="8"/>
      <c r="D40" s="14"/>
      <c r="E40" s="7"/>
      <c r="F40" s="7"/>
      <c r="G40" s="7"/>
      <c r="H40" s="7"/>
      <c r="I40" s="7"/>
      <c r="J40" s="7"/>
      <c r="K40" s="7"/>
      <c r="L40" s="7"/>
      <c r="M40" s="7"/>
      <c r="N40" s="7"/>
      <c r="O40" s="7" t="str">
        <f>IF('LIMS Data Entry'!I27="","",'LIMS Data Entry'!I27)</f>
        <v/>
      </c>
    </row>
    <row r="41" spans="1:15" x14ac:dyDescent="0.2">
      <c r="A41" s="13">
        <v>27</v>
      </c>
      <c r="B41" s="7" t="str">
        <f t="shared" si="0"/>
        <v/>
      </c>
      <c r="C41" s="8"/>
      <c r="D41" s="14"/>
      <c r="E41" s="7"/>
      <c r="F41" s="7"/>
      <c r="G41" s="7"/>
      <c r="H41" s="7"/>
      <c r="I41" s="7"/>
      <c r="J41" s="7"/>
      <c r="K41" s="7"/>
      <c r="L41" s="7"/>
      <c r="M41" s="7"/>
      <c r="N41" s="7"/>
      <c r="O41" s="7" t="str">
        <f>IF('LIMS Data Entry'!I28="","",'LIMS Data Entry'!I28)</f>
        <v/>
      </c>
    </row>
    <row r="42" spans="1:15" x14ac:dyDescent="0.2">
      <c r="A42" s="13">
        <v>28</v>
      </c>
      <c r="B42" s="7" t="str">
        <f t="shared" si="0"/>
        <v/>
      </c>
      <c r="C42" s="8"/>
      <c r="D42" s="14"/>
      <c r="E42" s="7"/>
      <c r="F42" s="7"/>
      <c r="G42" s="7"/>
      <c r="H42" s="7"/>
      <c r="I42" s="7"/>
      <c r="J42" s="7"/>
      <c r="K42" s="7"/>
      <c r="L42" s="7"/>
      <c r="M42" s="7"/>
      <c r="N42" s="7"/>
      <c r="O42" s="7" t="str">
        <f>IF('LIMS Data Entry'!I29="","",'LIMS Data Entry'!I29)</f>
        <v/>
      </c>
    </row>
    <row r="43" spans="1:15" x14ac:dyDescent="0.2">
      <c r="A43" s="13">
        <v>29</v>
      </c>
      <c r="B43" s="7" t="str">
        <f t="shared" si="0"/>
        <v/>
      </c>
      <c r="C43" s="8"/>
      <c r="D43" s="14"/>
      <c r="E43" s="7"/>
      <c r="F43" s="7"/>
      <c r="G43" s="7"/>
      <c r="H43" s="7"/>
      <c r="I43" s="7"/>
      <c r="J43" s="7"/>
      <c r="K43" s="7"/>
      <c r="L43" s="7"/>
      <c r="M43" s="7"/>
      <c r="N43" s="7"/>
      <c r="O43" s="7" t="str">
        <f>IF('LIMS Data Entry'!I30="","",'LIMS Data Entry'!I30)</f>
        <v/>
      </c>
    </row>
    <row r="44" spans="1:15" x14ac:dyDescent="0.2">
      <c r="A44" s="13">
        <v>30</v>
      </c>
      <c r="B44" s="7" t="str">
        <f t="shared" si="0"/>
        <v/>
      </c>
      <c r="C44" s="8"/>
      <c r="D44" s="14"/>
      <c r="E44" s="7"/>
      <c r="F44" s="7"/>
      <c r="G44" s="7"/>
      <c r="H44" s="7"/>
      <c r="I44" s="7"/>
      <c r="J44" s="7"/>
      <c r="K44" s="7"/>
      <c r="L44" s="7"/>
      <c r="M44" s="7"/>
      <c r="N44" s="7"/>
      <c r="O44" s="7" t="str">
        <f>IF('LIMS Data Entry'!I31="","",'LIMS Data Entry'!I31)</f>
        <v/>
      </c>
    </row>
    <row r="45" spans="1:15" x14ac:dyDescent="0.2">
      <c r="A45" s="13">
        <v>31</v>
      </c>
      <c r="B45" s="7" t="str">
        <f t="shared" si="0"/>
        <v/>
      </c>
      <c r="C45" s="8"/>
      <c r="D45" s="14"/>
      <c r="E45" s="7"/>
      <c r="F45" s="7"/>
      <c r="G45" s="7"/>
      <c r="H45" s="7"/>
      <c r="I45" s="7"/>
      <c r="J45" s="7"/>
      <c r="K45" s="7"/>
      <c r="L45" s="7"/>
      <c r="M45" s="7"/>
      <c r="N45" s="7"/>
      <c r="O45" s="7" t="str">
        <f>IF('LIMS Data Entry'!I32="","",'LIMS Data Entry'!I32)</f>
        <v/>
      </c>
    </row>
    <row r="46" spans="1:15" x14ac:dyDescent="0.2">
      <c r="A46" s="13">
        <v>32</v>
      </c>
      <c r="B46" s="7" t="str">
        <f t="shared" si="0"/>
        <v/>
      </c>
      <c r="C46" s="8"/>
      <c r="D46" s="14"/>
      <c r="E46" s="7"/>
      <c r="F46" s="7"/>
      <c r="G46" s="7"/>
      <c r="H46" s="7"/>
      <c r="I46" s="7"/>
      <c r="J46" s="7"/>
      <c r="K46" s="7"/>
      <c r="L46" s="7"/>
      <c r="M46" s="7"/>
      <c r="N46" s="7"/>
      <c r="O46" s="7" t="str">
        <f>IF('LIMS Data Entry'!I33="","",'LIMS Data Entry'!I33)</f>
        <v/>
      </c>
    </row>
    <row r="47" spans="1:15" x14ac:dyDescent="0.2">
      <c r="A47" s="13">
        <v>33</v>
      </c>
      <c r="B47" s="7" t="str">
        <f t="shared" si="0"/>
        <v/>
      </c>
      <c r="C47" s="8"/>
      <c r="D47" s="14"/>
      <c r="E47" s="7"/>
      <c r="F47" s="7"/>
      <c r="G47" s="7"/>
      <c r="H47" s="7"/>
      <c r="I47" s="7"/>
      <c r="J47" s="7"/>
      <c r="K47" s="7"/>
      <c r="L47" s="7"/>
      <c r="M47" s="7"/>
      <c r="N47" s="7"/>
      <c r="O47" s="7" t="str">
        <f>IF('LIMS Data Entry'!I34="","",'LIMS Data Entry'!I34)</f>
        <v/>
      </c>
    </row>
    <row r="48" spans="1:15" x14ac:dyDescent="0.2">
      <c r="A48" s="13">
        <v>34</v>
      </c>
      <c r="B48" s="7" t="str">
        <f t="shared" si="0"/>
        <v/>
      </c>
      <c r="C48" s="8"/>
      <c r="D48" s="14"/>
      <c r="E48" s="7"/>
      <c r="F48" s="7"/>
      <c r="G48" s="7"/>
      <c r="H48" s="7"/>
      <c r="I48" s="7"/>
      <c r="J48" s="7"/>
      <c r="K48" s="7"/>
      <c r="L48" s="7"/>
      <c r="M48" s="7"/>
      <c r="N48" s="7"/>
      <c r="O48" s="7" t="str">
        <f>IF('LIMS Data Entry'!I35="","",'LIMS Data Entry'!I35)</f>
        <v/>
      </c>
    </row>
    <row r="49" spans="1:15" x14ac:dyDescent="0.2">
      <c r="A49" s="13">
        <v>35</v>
      </c>
      <c r="B49" s="7" t="str">
        <f t="shared" si="0"/>
        <v/>
      </c>
      <c r="C49" s="8"/>
      <c r="D49" s="14"/>
      <c r="E49" s="7"/>
      <c r="F49" s="7"/>
      <c r="G49" s="7"/>
      <c r="H49" s="7"/>
      <c r="I49" s="7"/>
      <c r="J49" s="7"/>
      <c r="K49" s="7"/>
      <c r="L49" s="7"/>
      <c r="M49" s="7"/>
      <c r="N49" s="7"/>
      <c r="O49" s="7" t="str">
        <f>IF('LIMS Data Entry'!I36="","",'LIMS Data Entry'!I36)</f>
        <v/>
      </c>
    </row>
    <row r="50" spans="1:15" x14ac:dyDescent="0.2">
      <c r="A50" s="13">
        <v>36</v>
      </c>
      <c r="B50" s="7" t="str">
        <f t="shared" si="0"/>
        <v/>
      </c>
      <c r="C50" s="8"/>
      <c r="D50" s="14"/>
      <c r="E50" s="7"/>
      <c r="F50" s="7"/>
      <c r="G50" s="7"/>
      <c r="H50" s="7"/>
      <c r="I50" s="7"/>
      <c r="J50" s="7"/>
      <c r="K50" s="7"/>
      <c r="L50" s="7"/>
      <c r="M50" s="7"/>
      <c r="N50" s="7"/>
      <c r="O50" s="7" t="str">
        <f>IF('LIMS Data Entry'!I37="","",'LIMS Data Entry'!I37)</f>
        <v/>
      </c>
    </row>
    <row r="51" spans="1:15" x14ac:dyDescent="0.2">
      <c r="A51" s="13">
        <v>37</v>
      </c>
      <c r="B51" s="7" t="str">
        <f t="shared" si="0"/>
        <v/>
      </c>
      <c r="C51" s="8"/>
      <c r="D51" s="14"/>
      <c r="E51" s="7"/>
      <c r="F51" s="7"/>
      <c r="G51" s="7"/>
      <c r="H51" s="7"/>
      <c r="I51" s="7"/>
      <c r="J51" s="7"/>
      <c r="K51" s="7"/>
      <c r="L51" s="7"/>
      <c r="M51" s="7"/>
      <c r="N51" s="7"/>
      <c r="O51" s="7" t="str">
        <f>IF('LIMS Data Entry'!I38="","",'LIMS Data Entry'!I38)</f>
        <v/>
      </c>
    </row>
    <row r="52" spans="1:15" x14ac:dyDescent="0.2">
      <c r="A52" s="13">
        <v>38</v>
      </c>
      <c r="B52" s="7" t="str">
        <f t="shared" si="0"/>
        <v/>
      </c>
      <c r="C52" s="8"/>
      <c r="D52" s="14"/>
      <c r="E52" s="7"/>
      <c r="F52" s="7"/>
      <c r="G52" s="7"/>
      <c r="H52" s="7"/>
      <c r="I52" s="7"/>
      <c r="J52" s="7"/>
      <c r="K52" s="7"/>
      <c r="L52" s="7"/>
      <c r="M52" s="7"/>
      <c r="N52" s="7"/>
      <c r="O52" s="7" t="str">
        <f>IF('LIMS Data Entry'!I39="","",'LIMS Data Entry'!I39)</f>
        <v/>
      </c>
    </row>
    <row r="53" spans="1:15" x14ac:dyDescent="0.2">
      <c r="A53" s="13">
        <v>39</v>
      </c>
      <c r="B53" s="7" t="str">
        <f t="shared" si="0"/>
        <v/>
      </c>
      <c r="C53" s="8"/>
      <c r="D53" s="14"/>
      <c r="E53" s="7"/>
      <c r="F53" s="7"/>
      <c r="G53" s="7"/>
      <c r="H53" s="7"/>
      <c r="I53" s="7"/>
      <c r="J53" s="7"/>
      <c r="K53" s="7"/>
      <c r="L53" s="7"/>
      <c r="M53" s="7"/>
      <c r="N53" s="7"/>
      <c r="O53" s="7" t="str">
        <f>IF('LIMS Data Entry'!I40="","",'LIMS Data Entry'!I40)</f>
        <v/>
      </c>
    </row>
    <row r="54" spans="1:15" x14ac:dyDescent="0.2">
      <c r="A54" s="13">
        <v>40</v>
      </c>
      <c r="B54" s="7" t="str">
        <f t="shared" si="0"/>
        <v/>
      </c>
      <c r="C54" s="8"/>
      <c r="D54" s="14"/>
      <c r="E54" s="7"/>
      <c r="F54" s="7"/>
      <c r="G54" s="7"/>
      <c r="H54" s="7"/>
      <c r="I54" s="7"/>
      <c r="J54" s="7"/>
      <c r="K54" s="7"/>
      <c r="L54" s="7"/>
      <c r="M54" s="7"/>
      <c r="N54" s="7"/>
      <c r="O54" s="7" t="str">
        <f>IF('LIMS Data Entry'!I41="","",'LIMS Data Entry'!I41)</f>
        <v/>
      </c>
    </row>
    <row r="55" spans="1:15" x14ac:dyDescent="0.2">
      <c r="A55" s="13">
        <v>41</v>
      </c>
      <c r="B55" s="7" t="str">
        <f t="shared" si="0"/>
        <v/>
      </c>
      <c r="C55" s="8"/>
      <c r="D55" s="14"/>
      <c r="E55" s="7"/>
      <c r="F55" s="7"/>
      <c r="G55" s="7"/>
      <c r="H55" s="7"/>
      <c r="I55" s="7"/>
      <c r="J55" s="7"/>
      <c r="K55" s="7"/>
      <c r="L55" s="7"/>
      <c r="M55" s="7"/>
      <c r="N55" s="7"/>
      <c r="O55" s="7" t="str">
        <f>IF('LIMS Data Entry'!I42="","",'LIMS Data Entry'!I42)</f>
        <v/>
      </c>
    </row>
    <row r="56" spans="1:15" x14ac:dyDescent="0.2">
      <c r="A56" s="13">
        <v>42</v>
      </c>
      <c r="B56" s="7" t="str">
        <f t="shared" si="0"/>
        <v/>
      </c>
      <c r="C56" s="8"/>
      <c r="D56" s="14"/>
      <c r="E56" s="7"/>
      <c r="F56" s="7"/>
      <c r="G56" s="7"/>
      <c r="H56" s="7"/>
      <c r="I56" s="7"/>
      <c r="J56" s="7"/>
      <c r="K56" s="7"/>
      <c r="L56" s="7"/>
      <c r="M56" s="7"/>
      <c r="N56" s="7"/>
      <c r="O56" s="7" t="str">
        <f>IF('LIMS Data Entry'!I43="","",'LIMS Data Entry'!I43)</f>
        <v/>
      </c>
    </row>
    <row r="57" spans="1:15" x14ac:dyDescent="0.2">
      <c r="A57" s="13">
        <v>43</v>
      </c>
      <c r="B57" s="7" t="str">
        <f t="shared" si="0"/>
        <v/>
      </c>
      <c r="C57" s="8"/>
      <c r="D57" s="14"/>
      <c r="E57" s="7"/>
      <c r="F57" s="7"/>
      <c r="G57" s="7"/>
      <c r="H57" s="7"/>
      <c r="I57" s="7"/>
      <c r="J57" s="7"/>
      <c r="K57" s="7"/>
      <c r="L57" s="7"/>
      <c r="M57" s="7"/>
      <c r="N57" s="7"/>
      <c r="O57" s="7" t="str">
        <f>IF('LIMS Data Entry'!I44="","",'LIMS Data Entry'!I44)</f>
        <v/>
      </c>
    </row>
    <row r="58" spans="1:15" x14ac:dyDescent="0.2">
      <c r="A58" s="13">
        <v>44</v>
      </c>
      <c r="B58" s="7" t="str">
        <f t="shared" si="0"/>
        <v/>
      </c>
      <c r="C58" s="8"/>
      <c r="D58" s="14"/>
      <c r="E58" s="7"/>
      <c r="F58" s="7"/>
      <c r="G58" s="7"/>
      <c r="H58" s="7"/>
      <c r="I58" s="7"/>
      <c r="J58" s="7"/>
      <c r="K58" s="7"/>
      <c r="L58" s="7"/>
      <c r="M58" s="7"/>
      <c r="N58" s="7"/>
      <c r="O58" s="7" t="str">
        <f>IF('LIMS Data Entry'!I45="","",'LIMS Data Entry'!I45)</f>
        <v/>
      </c>
    </row>
    <row r="59" spans="1:15" x14ac:dyDescent="0.2">
      <c r="A59" s="13">
        <v>45</v>
      </c>
      <c r="B59" s="7" t="str">
        <f t="shared" si="0"/>
        <v/>
      </c>
      <c r="C59" s="8"/>
      <c r="D59" s="14"/>
      <c r="E59" s="7"/>
      <c r="F59" s="7"/>
      <c r="G59" s="7"/>
      <c r="H59" s="7"/>
      <c r="I59" s="7"/>
      <c r="J59" s="7"/>
      <c r="K59" s="7"/>
      <c r="L59" s="7"/>
      <c r="M59" s="7"/>
      <c r="N59" s="7"/>
      <c r="O59" s="7" t="str">
        <f>IF('LIMS Data Entry'!I46="","",'LIMS Data Entry'!I46)</f>
        <v/>
      </c>
    </row>
    <row r="60" spans="1:15" x14ac:dyDescent="0.2">
      <c r="A60" s="13">
        <v>46</v>
      </c>
      <c r="B60" s="7" t="str">
        <f t="shared" si="0"/>
        <v/>
      </c>
      <c r="C60" s="8"/>
      <c r="D60" s="14"/>
      <c r="E60" s="7"/>
      <c r="F60" s="7"/>
      <c r="G60" s="7"/>
      <c r="H60" s="7"/>
      <c r="I60" s="7"/>
      <c r="J60" s="7"/>
      <c r="K60" s="7"/>
      <c r="L60" s="7"/>
      <c r="M60" s="7"/>
      <c r="N60" s="7"/>
      <c r="O60" s="7" t="str">
        <f>IF('LIMS Data Entry'!I47="","",'LIMS Data Entry'!I47)</f>
        <v/>
      </c>
    </row>
    <row r="61" spans="1:15" x14ac:dyDescent="0.2">
      <c r="A61" s="13">
        <v>47</v>
      </c>
      <c r="B61" s="7" t="str">
        <f t="shared" si="0"/>
        <v/>
      </c>
      <c r="C61" s="8"/>
      <c r="D61" s="14"/>
      <c r="E61" s="7"/>
      <c r="F61" s="7"/>
      <c r="G61" s="7"/>
      <c r="H61" s="7"/>
      <c r="I61" s="7"/>
      <c r="J61" s="7"/>
      <c r="K61" s="7"/>
      <c r="L61" s="7"/>
      <c r="M61" s="7"/>
      <c r="N61" s="7"/>
      <c r="O61" s="7" t="str">
        <f>IF('LIMS Data Entry'!I48="","",'LIMS Data Entry'!I48)</f>
        <v/>
      </c>
    </row>
    <row r="62" spans="1:15" x14ac:dyDescent="0.2">
      <c r="A62" s="13">
        <v>48</v>
      </c>
      <c r="B62" s="7" t="str">
        <f t="shared" si="0"/>
        <v/>
      </c>
      <c r="C62" s="8"/>
      <c r="D62" s="14"/>
      <c r="E62" s="7"/>
      <c r="F62" s="7"/>
      <c r="G62" s="7"/>
      <c r="H62" s="7"/>
      <c r="I62" s="7"/>
      <c r="J62" s="7"/>
      <c r="K62" s="7"/>
      <c r="L62" s="7"/>
      <c r="M62" s="7"/>
      <c r="N62" s="7"/>
      <c r="O62" s="7" t="str">
        <f>IF('LIMS Data Entry'!I49="","",'LIMS Data Entry'!I49)</f>
        <v/>
      </c>
    </row>
    <row r="63" spans="1:15" x14ac:dyDescent="0.2">
      <c r="A63" s="13">
        <v>49</v>
      </c>
      <c r="B63" s="7" t="str">
        <f t="shared" si="0"/>
        <v/>
      </c>
      <c r="C63" s="8"/>
      <c r="D63" s="14"/>
      <c r="E63" s="7"/>
      <c r="F63" s="7"/>
      <c r="G63" s="7"/>
      <c r="H63" s="7"/>
      <c r="I63" s="7"/>
      <c r="J63" s="7"/>
      <c r="K63" s="7"/>
      <c r="L63" s="7"/>
      <c r="M63" s="7"/>
      <c r="N63" s="7"/>
      <c r="O63" s="7" t="str">
        <f>IF('LIMS Data Entry'!I50="","",'LIMS Data Entry'!I50)</f>
        <v/>
      </c>
    </row>
    <row r="64" spans="1:15" x14ac:dyDescent="0.2">
      <c r="A64" s="13">
        <v>50</v>
      </c>
      <c r="B64" s="7" t="str">
        <f t="shared" si="0"/>
        <v/>
      </c>
      <c r="C64" s="8"/>
      <c r="D64" s="14"/>
      <c r="E64" s="7"/>
      <c r="F64" s="7"/>
      <c r="G64" s="7"/>
      <c r="H64" s="7"/>
      <c r="I64" s="7"/>
      <c r="J64" s="7"/>
      <c r="K64" s="7"/>
      <c r="L64" s="7"/>
      <c r="M64" s="7"/>
      <c r="N64" s="7"/>
      <c r="O64" s="7" t="str">
        <f>IF('LIMS Data Entry'!I51="","",'LIMS Data Entry'!I51)</f>
        <v/>
      </c>
    </row>
    <row r="65" spans="1:15" x14ac:dyDescent="0.2">
      <c r="A65" s="13">
        <v>51</v>
      </c>
      <c r="B65" s="7" t="str">
        <f t="shared" si="0"/>
        <v/>
      </c>
      <c r="C65" s="8"/>
      <c r="D65" s="14"/>
      <c r="E65" s="7"/>
      <c r="F65" s="7"/>
      <c r="G65" s="7"/>
      <c r="H65" s="7"/>
      <c r="I65" s="7"/>
      <c r="J65" s="7"/>
      <c r="K65" s="7"/>
      <c r="L65" s="7"/>
      <c r="M65" s="7"/>
      <c r="N65" s="7"/>
      <c r="O65" s="7" t="str">
        <f>IF('LIMS Data Entry'!I52="","",'LIMS Data Entry'!I52)</f>
        <v/>
      </c>
    </row>
    <row r="66" spans="1:15" x14ac:dyDescent="0.2">
      <c r="A66" s="13">
        <v>52</v>
      </c>
      <c r="B66" s="7" t="str">
        <f t="shared" si="0"/>
        <v/>
      </c>
      <c r="C66" s="8"/>
      <c r="D66" s="14"/>
      <c r="E66" s="7"/>
      <c r="F66" s="7"/>
      <c r="G66" s="7"/>
      <c r="H66" s="7"/>
      <c r="I66" s="7"/>
      <c r="J66" s="7"/>
      <c r="K66" s="7"/>
      <c r="L66" s="7"/>
      <c r="M66" s="7"/>
      <c r="N66" s="7"/>
      <c r="O66" s="7" t="str">
        <f>IF('LIMS Data Entry'!I53="","",'LIMS Data Entry'!I53)</f>
        <v/>
      </c>
    </row>
    <row r="67" spans="1:15" x14ac:dyDescent="0.2">
      <c r="A67" s="13">
        <v>53</v>
      </c>
      <c r="B67" s="7" t="str">
        <f t="shared" si="0"/>
        <v/>
      </c>
      <c r="C67" s="8"/>
      <c r="D67" s="14"/>
      <c r="E67" s="7"/>
      <c r="F67" s="7"/>
      <c r="G67" s="7"/>
      <c r="H67" s="7"/>
      <c r="I67" s="7"/>
      <c r="J67" s="7"/>
      <c r="K67" s="7"/>
      <c r="L67" s="7"/>
      <c r="M67" s="7"/>
      <c r="N67" s="7"/>
      <c r="O67" s="7" t="str">
        <f>IF('LIMS Data Entry'!I54="","",'LIMS Data Entry'!I54)</f>
        <v/>
      </c>
    </row>
    <row r="68" spans="1:15" x14ac:dyDescent="0.2">
      <c r="A68" s="13">
        <v>54</v>
      </c>
      <c r="B68" s="7" t="str">
        <f t="shared" si="0"/>
        <v/>
      </c>
      <c r="C68" s="8"/>
      <c r="D68" s="14"/>
      <c r="E68" s="7"/>
      <c r="F68" s="7"/>
      <c r="G68" s="7"/>
      <c r="H68" s="7"/>
      <c r="I68" s="7"/>
      <c r="J68" s="7"/>
      <c r="K68" s="7"/>
      <c r="L68" s="7"/>
      <c r="M68" s="7"/>
      <c r="N68" s="7"/>
      <c r="O68" s="7" t="str">
        <f>IF('LIMS Data Entry'!I55="","",'LIMS Data Entry'!I55)</f>
        <v/>
      </c>
    </row>
    <row r="69" spans="1:15" x14ac:dyDescent="0.2">
      <c r="A69" s="13">
        <v>55</v>
      </c>
      <c r="B69" s="7" t="str">
        <f t="shared" si="0"/>
        <v/>
      </c>
      <c r="C69" s="8"/>
      <c r="D69" s="14"/>
      <c r="E69" s="7"/>
      <c r="F69" s="7"/>
      <c r="G69" s="7"/>
      <c r="H69" s="7"/>
      <c r="I69" s="7"/>
      <c r="J69" s="7"/>
      <c r="K69" s="7"/>
      <c r="L69" s="7"/>
      <c r="M69" s="7"/>
      <c r="N69" s="7"/>
      <c r="O69" s="7" t="str">
        <f>IF('LIMS Data Entry'!I56="","",'LIMS Data Entry'!I56)</f>
        <v/>
      </c>
    </row>
    <row r="70" spans="1:15" x14ac:dyDescent="0.2">
      <c r="A70" s="13">
        <v>56</v>
      </c>
      <c r="B70" s="7" t="str">
        <f t="shared" si="0"/>
        <v/>
      </c>
      <c r="C70" s="8"/>
      <c r="D70" s="14"/>
      <c r="E70" s="7"/>
      <c r="F70" s="7"/>
      <c r="G70" s="7"/>
      <c r="H70" s="7"/>
      <c r="I70" s="7"/>
      <c r="J70" s="7"/>
      <c r="K70" s="7"/>
      <c r="L70" s="7"/>
      <c r="M70" s="7"/>
      <c r="N70" s="7"/>
      <c r="O70" s="7" t="str">
        <f>IF('LIMS Data Entry'!I57="","",'LIMS Data Entry'!I57)</f>
        <v/>
      </c>
    </row>
    <row r="71" spans="1:15" x14ac:dyDescent="0.2">
      <c r="A71" s="13">
        <v>57</v>
      </c>
      <c r="B71" s="7" t="str">
        <f t="shared" si="0"/>
        <v/>
      </c>
      <c r="C71" s="8"/>
      <c r="D71" s="14"/>
      <c r="E71" s="7"/>
      <c r="F71" s="7"/>
      <c r="G71" s="7"/>
      <c r="H71" s="7"/>
      <c r="I71" s="7"/>
      <c r="J71" s="7"/>
      <c r="K71" s="7"/>
      <c r="L71" s="7"/>
      <c r="M71" s="7"/>
      <c r="N71" s="7"/>
      <c r="O71" s="7" t="str">
        <f>IF('LIMS Data Entry'!I58="","",'LIMS Data Entry'!I58)</f>
        <v/>
      </c>
    </row>
    <row r="72" spans="1:15" x14ac:dyDescent="0.2">
      <c r="A72" s="13">
        <v>58</v>
      </c>
      <c r="B72" s="7" t="str">
        <f t="shared" si="0"/>
        <v/>
      </c>
      <c r="C72" s="8"/>
      <c r="D72" s="14"/>
      <c r="E72" s="7"/>
      <c r="F72" s="7"/>
      <c r="G72" s="7"/>
      <c r="H72" s="7"/>
      <c r="I72" s="7"/>
      <c r="J72" s="7"/>
      <c r="K72" s="7"/>
      <c r="L72" s="7"/>
      <c r="M72" s="7"/>
      <c r="N72" s="7"/>
      <c r="O72" s="7" t="str">
        <f>IF('LIMS Data Entry'!I59="","",'LIMS Data Entry'!I59)</f>
        <v/>
      </c>
    </row>
    <row r="73" spans="1:15" x14ac:dyDescent="0.2">
      <c r="A73" s="13">
        <v>59</v>
      </c>
      <c r="B73" s="7" t="str">
        <f t="shared" si="0"/>
        <v/>
      </c>
      <c r="C73" s="8"/>
      <c r="D73" s="14"/>
      <c r="E73" s="7"/>
      <c r="F73" s="7"/>
      <c r="G73" s="7"/>
      <c r="H73" s="7"/>
      <c r="I73" s="7"/>
      <c r="J73" s="7"/>
      <c r="K73" s="7"/>
      <c r="L73" s="7"/>
      <c r="M73" s="7"/>
      <c r="N73" s="7"/>
      <c r="O73" s="7" t="str">
        <f>IF('LIMS Data Entry'!I60="","",'LIMS Data Entry'!I60)</f>
        <v/>
      </c>
    </row>
    <row r="74" spans="1:15" x14ac:dyDescent="0.2">
      <c r="A74" s="13">
        <v>60</v>
      </c>
      <c r="B74" s="7" t="str">
        <f t="shared" si="0"/>
        <v/>
      </c>
      <c r="C74" s="8"/>
      <c r="D74" s="14"/>
      <c r="E74" s="7"/>
      <c r="F74" s="7"/>
      <c r="G74" s="7"/>
      <c r="H74" s="7"/>
      <c r="I74" s="7"/>
      <c r="J74" s="7"/>
      <c r="K74" s="7"/>
      <c r="L74" s="7"/>
      <c r="M74" s="7"/>
      <c r="N74" s="7"/>
      <c r="O74" s="7" t="str">
        <f>IF('LIMS Data Entry'!I61="","",'LIMS Data Entry'!I61)</f>
        <v/>
      </c>
    </row>
    <row r="75" spans="1:15" x14ac:dyDescent="0.2">
      <c r="A75" s="13">
        <v>61</v>
      </c>
      <c r="B75" s="7" t="str">
        <f t="shared" si="0"/>
        <v/>
      </c>
      <c r="C75" s="8"/>
      <c r="D75" s="14"/>
      <c r="E75" s="7"/>
      <c r="F75" s="7"/>
      <c r="G75" s="7"/>
      <c r="H75" s="7"/>
      <c r="I75" s="7"/>
      <c r="J75" s="7"/>
      <c r="K75" s="7"/>
      <c r="L75" s="7"/>
      <c r="M75" s="7"/>
      <c r="N75" s="7"/>
      <c r="O75" s="7" t="str">
        <f>IF('LIMS Data Entry'!I62="","",'LIMS Data Entry'!I62)</f>
        <v/>
      </c>
    </row>
    <row r="76" spans="1:15" x14ac:dyDescent="0.2">
      <c r="A76" s="13">
        <v>62</v>
      </c>
      <c r="B76" s="7" t="str">
        <f t="shared" si="0"/>
        <v/>
      </c>
      <c r="C76" s="8"/>
      <c r="D76" s="14"/>
      <c r="E76" s="7"/>
      <c r="F76" s="7"/>
      <c r="G76" s="7"/>
      <c r="H76" s="7"/>
      <c r="I76" s="7"/>
      <c r="J76" s="7"/>
      <c r="K76" s="7"/>
      <c r="L76" s="7"/>
      <c r="M76" s="7"/>
      <c r="N76" s="7"/>
      <c r="O76" s="7" t="str">
        <f>IF('LIMS Data Entry'!I63="","",'LIMS Data Entry'!I63)</f>
        <v/>
      </c>
    </row>
    <row r="77" spans="1:15" x14ac:dyDescent="0.2">
      <c r="A77" s="13">
        <v>63</v>
      </c>
      <c r="B77" s="7" t="str">
        <f t="shared" si="0"/>
        <v/>
      </c>
      <c r="C77" s="8"/>
      <c r="D77" s="14"/>
      <c r="E77" s="7"/>
      <c r="F77" s="7"/>
      <c r="G77" s="7"/>
      <c r="H77" s="7"/>
      <c r="I77" s="7"/>
      <c r="J77" s="7"/>
      <c r="K77" s="7"/>
      <c r="L77" s="7"/>
      <c r="M77" s="7"/>
      <c r="N77" s="7"/>
      <c r="O77" s="7" t="str">
        <f>IF('LIMS Data Entry'!I64="","",'LIMS Data Entry'!I64)</f>
        <v/>
      </c>
    </row>
    <row r="78" spans="1:15" x14ac:dyDescent="0.2">
      <c r="A78" s="13">
        <v>64</v>
      </c>
      <c r="B78" s="7" t="str">
        <f t="shared" si="0"/>
        <v/>
      </c>
      <c r="C78" s="8"/>
      <c r="D78" s="14"/>
      <c r="E78" s="7"/>
      <c r="F78" s="7"/>
      <c r="G78" s="7"/>
      <c r="H78" s="7"/>
      <c r="I78" s="7"/>
      <c r="J78" s="7"/>
      <c r="K78" s="7"/>
      <c r="L78" s="7"/>
      <c r="M78" s="7"/>
      <c r="N78" s="7"/>
      <c r="O78" s="7" t="str">
        <f>IF('LIMS Data Entry'!I65="","",'LIMS Data Entry'!I65)</f>
        <v/>
      </c>
    </row>
    <row r="79" spans="1:15" x14ac:dyDescent="0.2">
      <c r="A79" s="13">
        <v>65</v>
      </c>
      <c r="B79" s="7" t="str">
        <f t="shared" si="0"/>
        <v/>
      </c>
      <c r="C79" s="8"/>
      <c r="D79" s="14"/>
      <c r="E79" s="7"/>
      <c r="F79" s="7"/>
      <c r="G79" s="7"/>
      <c r="H79" s="7"/>
      <c r="I79" s="7"/>
      <c r="J79" s="7"/>
      <c r="K79" s="7"/>
      <c r="L79" s="7"/>
      <c r="M79" s="7"/>
      <c r="N79" s="7"/>
      <c r="O79" s="7" t="str">
        <f>IF('LIMS Data Entry'!I66="","",'LIMS Data Entry'!I66)</f>
        <v/>
      </c>
    </row>
    <row r="80" spans="1:15" x14ac:dyDescent="0.2">
      <c r="A80" s="13">
        <v>66</v>
      </c>
      <c r="B80" s="7" t="str">
        <f t="shared" ref="B80:B131" si="1">IF(E80="","",IF(OR(E80="PWC",E80="PWH",E80="PWM",E80="IC"),"LEGION1",IF(E80="CW","LEGION","ERROR")))</f>
        <v/>
      </c>
      <c r="C80" s="8"/>
      <c r="D80" s="14"/>
      <c r="E80" s="7"/>
      <c r="F80" s="7"/>
      <c r="G80" s="7"/>
      <c r="H80" s="7"/>
      <c r="I80" s="7"/>
      <c r="J80" s="7"/>
      <c r="K80" s="7"/>
      <c r="L80" s="7"/>
      <c r="M80" s="7"/>
      <c r="N80" s="7"/>
      <c r="O80" s="7" t="str">
        <f>IF('LIMS Data Entry'!I67="","",'LIMS Data Entry'!I67)</f>
        <v/>
      </c>
    </row>
    <row r="81" spans="1:15" x14ac:dyDescent="0.2">
      <c r="A81" s="13">
        <v>67</v>
      </c>
      <c r="B81" s="7" t="str">
        <f t="shared" si="1"/>
        <v/>
      </c>
      <c r="C81" s="8"/>
      <c r="D81" s="14"/>
      <c r="E81" s="7"/>
      <c r="F81" s="7"/>
      <c r="G81" s="7"/>
      <c r="H81" s="7"/>
      <c r="I81" s="7"/>
      <c r="J81" s="7"/>
      <c r="K81" s="7"/>
      <c r="L81" s="7"/>
      <c r="M81" s="7"/>
      <c r="N81" s="7"/>
      <c r="O81" s="7" t="str">
        <f>IF('LIMS Data Entry'!I68="","",'LIMS Data Entry'!I68)</f>
        <v/>
      </c>
    </row>
    <row r="82" spans="1:15" x14ac:dyDescent="0.2">
      <c r="A82" s="13">
        <v>68</v>
      </c>
      <c r="B82" s="7" t="str">
        <f t="shared" si="1"/>
        <v/>
      </c>
      <c r="C82" s="8"/>
      <c r="D82" s="14"/>
      <c r="E82" s="7"/>
      <c r="F82" s="7"/>
      <c r="G82" s="7"/>
      <c r="H82" s="7"/>
      <c r="I82" s="7"/>
      <c r="J82" s="7"/>
      <c r="K82" s="7"/>
      <c r="L82" s="7"/>
      <c r="M82" s="7"/>
      <c r="N82" s="7"/>
      <c r="O82" s="7" t="str">
        <f>IF('LIMS Data Entry'!I69="","",'LIMS Data Entry'!I69)</f>
        <v/>
      </c>
    </row>
    <row r="83" spans="1:15" x14ac:dyDescent="0.2">
      <c r="A83" s="13">
        <v>69</v>
      </c>
      <c r="B83" s="7" t="str">
        <f t="shared" si="1"/>
        <v/>
      </c>
      <c r="C83" s="8"/>
      <c r="D83" s="14"/>
      <c r="E83" s="7"/>
      <c r="F83" s="7"/>
      <c r="G83" s="7"/>
      <c r="H83" s="7"/>
      <c r="I83" s="7"/>
      <c r="J83" s="7"/>
      <c r="K83" s="7"/>
      <c r="L83" s="7"/>
      <c r="M83" s="7"/>
      <c r="N83" s="7"/>
      <c r="O83" s="7" t="str">
        <f>IF('LIMS Data Entry'!I70="","",'LIMS Data Entry'!I70)</f>
        <v/>
      </c>
    </row>
    <row r="84" spans="1:15" x14ac:dyDescent="0.2">
      <c r="A84" s="13">
        <v>70</v>
      </c>
      <c r="B84" s="7" t="str">
        <f t="shared" si="1"/>
        <v/>
      </c>
      <c r="C84" s="8"/>
      <c r="D84" s="14"/>
      <c r="E84" s="7"/>
      <c r="F84" s="7"/>
      <c r="G84" s="7"/>
      <c r="H84" s="7"/>
      <c r="I84" s="7"/>
      <c r="J84" s="7"/>
      <c r="K84" s="7"/>
      <c r="L84" s="7"/>
      <c r="M84" s="7"/>
      <c r="N84" s="7"/>
      <c r="O84" s="7" t="str">
        <f>IF('LIMS Data Entry'!I71="","",'LIMS Data Entry'!I71)</f>
        <v/>
      </c>
    </row>
    <row r="85" spans="1:15" x14ac:dyDescent="0.2">
      <c r="A85" s="13">
        <v>71</v>
      </c>
      <c r="B85" s="7" t="str">
        <f t="shared" si="1"/>
        <v/>
      </c>
      <c r="C85" s="8"/>
      <c r="D85" s="14"/>
      <c r="E85" s="7"/>
      <c r="F85" s="7"/>
      <c r="G85" s="7"/>
      <c r="H85" s="7"/>
      <c r="I85" s="7"/>
      <c r="J85" s="7"/>
      <c r="K85" s="7"/>
      <c r="L85" s="7"/>
      <c r="M85" s="7"/>
      <c r="N85" s="7"/>
      <c r="O85" s="7" t="str">
        <f>IF('LIMS Data Entry'!I72="","",'LIMS Data Entry'!I72)</f>
        <v/>
      </c>
    </row>
    <row r="86" spans="1:15" x14ac:dyDescent="0.2">
      <c r="A86" s="13">
        <v>72</v>
      </c>
      <c r="B86" s="7" t="str">
        <f t="shared" si="1"/>
        <v/>
      </c>
      <c r="C86" s="8"/>
      <c r="D86" s="14"/>
      <c r="E86" s="7"/>
      <c r="F86" s="7"/>
      <c r="G86" s="7"/>
      <c r="H86" s="7"/>
      <c r="I86" s="7"/>
      <c r="J86" s="7"/>
      <c r="K86" s="7"/>
      <c r="L86" s="7"/>
      <c r="M86" s="7"/>
      <c r="N86" s="7"/>
      <c r="O86" s="7" t="str">
        <f>IF('LIMS Data Entry'!I73="","",'LIMS Data Entry'!I73)</f>
        <v/>
      </c>
    </row>
    <row r="87" spans="1:15" x14ac:dyDescent="0.2">
      <c r="A87" s="13">
        <v>73</v>
      </c>
      <c r="B87" s="7" t="str">
        <f t="shared" si="1"/>
        <v/>
      </c>
      <c r="C87" s="8"/>
      <c r="D87" s="14"/>
      <c r="E87" s="7"/>
      <c r="F87" s="7"/>
      <c r="G87" s="7"/>
      <c r="H87" s="7"/>
      <c r="I87" s="7"/>
      <c r="J87" s="7"/>
      <c r="K87" s="7"/>
      <c r="L87" s="7"/>
      <c r="M87" s="7"/>
      <c r="N87" s="7"/>
      <c r="O87" s="7" t="str">
        <f>IF('LIMS Data Entry'!I74="","",'LIMS Data Entry'!I74)</f>
        <v/>
      </c>
    </row>
    <row r="88" spans="1:15" x14ac:dyDescent="0.2">
      <c r="A88" s="13">
        <v>74</v>
      </c>
      <c r="B88" s="7" t="str">
        <f t="shared" si="1"/>
        <v/>
      </c>
      <c r="C88" s="8"/>
      <c r="D88" s="14"/>
      <c r="E88" s="7"/>
      <c r="F88" s="7"/>
      <c r="G88" s="7"/>
      <c r="H88" s="7"/>
      <c r="I88" s="7"/>
      <c r="J88" s="7"/>
      <c r="K88" s="7"/>
      <c r="L88" s="7"/>
      <c r="M88" s="7"/>
      <c r="N88" s="7"/>
      <c r="O88" s="7" t="str">
        <f>IF('LIMS Data Entry'!I75="","",'LIMS Data Entry'!I75)</f>
        <v/>
      </c>
    </row>
    <row r="89" spans="1:15" x14ac:dyDescent="0.2">
      <c r="A89" s="13">
        <v>75</v>
      </c>
      <c r="B89" s="7" t="str">
        <f t="shared" si="1"/>
        <v/>
      </c>
      <c r="C89" s="8"/>
      <c r="D89" s="14"/>
      <c r="E89" s="7"/>
      <c r="F89" s="7"/>
      <c r="G89" s="7"/>
      <c r="H89" s="7"/>
      <c r="I89" s="7"/>
      <c r="J89" s="7"/>
      <c r="K89" s="7"/>
      <c r="L89" s="7"/>
      <c r="M89" s="7"/>
      <c r="N89" s="7"/>
      <c r="O89" s="7" t="str">
        <f>IF('LIMS Data Entry'!I76="","",'LIMS Data Entry'!I76)</f>
        <v/>
      </c>
    </row>
    <row r="90" spans="1:15" x14ac:dyDescent="0.2">
      <c r="A90" s="13">
        <v>76</v>
      </c>
      <c r="B90" s="7" t="str">
        <f t="shared" si="1"/>
        <v/>
      </c>
      <c r="C90" s="8"/>
      <c r="D90" s="14"/>
      <c r="E90" s="7"/>
      <c r="F90" s="7"/>
      <c r="G90" s="7"/>
      <c r="H90" s="7"/>
      <c r="I90" s="7"/>
      <c r="J90" s="7"/>
      <c r="K90" s="7"/>
      <c r="L90" s="7"/>
      <c r="M90" s="7"/>
      <c r="N90" s="7"/>
      <c r="O90" s="7" t="str">
        <f>IF('LIMS Data Entry'!I77="","",'LIMS Data Entry'!I77)</f>
        <v/>
      </c>
    </row>
    <row r="91" spans="1:15" x14ac:dyDescent="0.2">
      <c r="A91" s="13">
        <v>77</v>
      </c>
      <c r="B91" s="7" t="str">
        <f t="shared" si="1"/>
        <v/>
      </c>
      <c r="C91" s="8"/>
      <c r="D91" s="14"/>
      <c r="E91" s="7"/>
      <c r="F91" s="7"/>
      <c r="G91" s="7"/>
      <c r="H91" s="7"/>
      <c r="I91" s="7"/>
      <c r="J91" s="7"/>
      <c r="K91" s="7"/>
      <c r="L91" s="7"/>
      <c r="M91" s="7"/>
      <c r="N91" s="7"/>
      <c r="O91" s="7" t="str">
        <f>IF('LIMS Data Entry'!I78="","",'LIMS Data Entry'!I78)</f>
        <v/>
      </c>
    </row>
    <row r="92" spans="1:15" x14ac:dyDescent="0.2">
      <c r="A92" s="13">
        <v>78</v>
      </c>
      <c r="B92" s="7" t="str">
        <f t="shared" si="1"/>
        <v/>
      </c>
      <c r="C92" s="8"/>
      <c r="D92" s="14"/>
      <c r="E92" s="7"/>
      <c r="F92" s="7"/>
      <c r="G92" s="7"/>
      <c r="H92" s="7"/>
      <c r="I92" s="7"/>
      <c r="J92" s="7"/>
      <c r="K92" s="7"/>
      <c r="L92" s="7"/>
      <c r="M92" s="7"/>
      <c r="N92" s="7"/>
      <c r="O92" s="7" t="str">
        <f>IF('LIMS Data Entry'!I79="","",'LIMS Data Entry'!I79)</f>
        <v/>
      </c>
    </row>
    <row r="93" spans="1:15" x14ac:dyDescent="0.2">
      <c r="A93" s="13">
        <v>79</v>
      </c>
      <c r="B93" s="7" t="str">
        <f t="shared" si="1"/>
        <v/>
      </c>
      <c r="C93" s="8"/>
      <c r="D93" s="14"/>
      <c r="E93" s="7"/>
      <c r="F93" s="7"/>
      <c r="G93" s="7"/>
      <c r="H93" s="7"/>
      <c r="I93" s="7"/>
      <c r="J93" s="7"/>
      <c r="K93" s="7"/>
      <c r="L93" s="7"/>
      <c r="M93" s="7"/>
      <c r="N93" s="7"/>
      <c r="O93" s="7" t="str">
        <f>IF('LIMS Data Entry'!I80="","",'LIMS Data Entry'!I80)</f>
        <v/>
      </c>
    </row>
    <row r="94" spans="1:15" x14ac:dyDescent="0.2">
      <c r="A94" s="13">
        <v>80</v>
      </c>
      <c r="B94" s="7" t="str">
        <f t="shared" si="1"/>
        <v/>
      </c>
      <c r="C94" s="8"/>
      <c r="D94" s="14"/>
      <c r="E94" s="7"/>
      <c r="F94" s="7"/>
      <c r="G94" s="7"/>
      <c r="H94" s="7"/>
      <c r="I94" s="7"/>
      <c r="J94" s="7"/>
      <c r="K94" s="7"/>
      <c r="L94" s="7"/>
      <c r="M94" s="7"/>
      <c r="N94" s="7"/>
      <c r="O94" s="7" t="str">
        <f>IF('LIMS Data Entry'!I81="","",'LIMS Data Entry'!I81)</f>
        <v/>
      </c>
    </row>
    <row r="95" spans="1:15" x14ac:dyDescent="0.2">
      <c r="A95" s="13">
        <v>81</v>
      </c>
      <c r="B95" s="7" t="str">
        <f t="shared" si="1"/>
        <v/>
      </c>
      <c r="C95" s="8"/>
      <c r="D95" s="14"/>
      <c r="E95" s="7"/>
      <c r="F95" s="7"/>
      <c r="G95" s="7"/>
      <c r="H95" s="7"/>
      <c r="I95" s="7"/>
      <c r="J95" s="7"/>
      <c r="K95" s="7"/>
      <c r="L95" s="7"/>
      <c r="M95" s="7"/>
      <c r="N95" s="7"/>
      <c r="O95" s="7" t="str">
        <f>IF('LIMS Data Entry'!I82="","",'LIMS Data Entry'!I82)</f>
        <v/>
      </c>
    </row>
    <row r="96" spans="1:15" x14ac:dyDescent="0.2">
      <c r="A96" s="13">
        <v>82</v>
      </c>
      <c r="B96" s="7" t="str">
        <f t="shared" si="1"/>
        <v/>
      </c>
      <c r="C96" s="8"/>
      <c r="D96" s="14"/>
      <c r="E96" s="7"/>
      <c r="F96" s="7"/>
      <c r="G96" s="7"/>
      <c r="H96" s="7"/>
      <c r="I96" s="7"/>
      <c r="J96" s="7"/>
      <c r="K96" s="7"/>
      <c r="L96" s="7"/>
      <c r="M96" s="7"/>
      <c r="N96" s="7"/>
      <c r="O96" s="7" t="str">
        <f>IF('LIMS Data Entry'!I83="","",'LIMS Data Entry'!I83)</f>
        <v/>
      </c>
    </row>
    <row r="97" spans="1:15" x14ac:dyDescent="0.2">
      <c r="A97" s="13">
        <v>83</v>
      </c>
      <c r="B97" s="7" t="str">
        <f t="shared" si="1"/>
        <v/>
      </c>
      <c r="C97" s="8"/>
      <c r="D97" s="14"/>
      <c r="E97" s="7"/>
      <c r="F97" s="7"/>
      <c r="G97" s="7"/>
      <c r="H97" s="7"/>
      <c r="I97" s="7"/>
      <c r="J97" s="7"/>
      <c r="K97" s="7"/>
      <c r="L97" s="7"/>
      <c r="M97" s="7"/>
      <c r="N97" s="7"/>
      <c r="O97" s="7" t="str">
        <f>IF('LIMS Data Entry'!I84="","",'LIMS Data Entry'!I84)</f>
        <v/>
      </c>
    </row>
    <row r="98" spans="1:15" x14ac:dyDescent="0.2">
      <c r="A98" s="13">
        <v>84</v>
      </c>
      <c r="B98" s="7" t="str">
        <f t="shared" si="1"/>
        <v/>
      </c>
      <c r="C98" s="8"/>
      <c r="D98" s="14"/>
      <c r="E98" s="7"/>
      <c r="F98" s="7"/>
      <c r="G98" s="7"/>
      <c r="H98" s="7"/>
      <c r="I98" s="7"/>
      <c r="J98" s="7"/>
      <c r="K98" s="7"/>
      <c r="L98" s="7"/>
      <c r="M98" s="7"/>
      <c r="N98" s="7"/>
      <c r="O98" s="7" t="str">
        <f>IF('LIMS Data Entry'!I85="","",'LIMS Data Entry'!I85)</f>
        <v/>
      </c>
    </row>
    <row r="99" spans="1:15" x14ac:dyDescent="0.2">
      <c r="A99" s="13">
        <v>85</v>
      </c>
      <c r="B99" s="7" t="str">
        <f t="shared" si="1"/>
        <v/>
      </c>
      <c r="C99" s="8"/>
      <c r="D99" s="14"/>
      <c r="E99" s="7"/>
      <c r="F99" s="7"/>
      <c r="G99" s="7"/>
      <c r="H99" s="7"/>
      <c r="I99" s="7"/>
      <c r="J99" s="7"/>
      <c r="K99" s="7"/>
      <c r="L99" s="7"/>
      <c r="M99" s="7"/>
      <c r="N99" s="7"/>
      <c r="O99" s="7" t="str">
        <f>IF('LIMS Data Entry'!I86="","",'LIMS Data Entry'!I86)</f>
        <v/>
      </c>
    </row>
    <row r="100" spans="1:15" x14ac:dyDescent="0.2">
      <c r="A100" s="13">
        <v>86</v>
      </c>
      <c r="B100" s="7" t="str">
        <f t="shared" si="1"/>
        <v/>
      </c>
      <c r="C100" s="8"/>
      <c r="D100" s="14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 t="str">
        <f>IF('LIMS Data Entry'!I87="","",'LIMS Data Entry'!I87)</f>
        <v/>
      </c>
    </row>
    <row r="101" spans="1:15" x14ac:dyDescent="0.2">
      <c r="A101" s="13">
        <v>87</v>
      </c>
      <c r="B101" s="7" t="str">
        <f t="shared" si="1"/>
        <v/>
      </c>
      <c r="C101" s="8"/>
      <c r="D101" s="14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 t="str">
        <f>IF('LIMS Data Entry'!I88="","",'LIMS Data Entry'!I88)</f>
        <v/>
      </c>
    </row>
    <row r="102" spans="1:15" x14ac:dyDescent="0.2">
      <c r="A102" s="13">
        <v>88</v>
      </c>
      <c r="B102" s="7" t="str">
        <f t="shared" si="1"/>
        <v/>
      </c>
      <c r="C102" s="8"/>
      <c r="D102" s="14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 t="str">
        <f>IF('LIMS Data Entry'!I89="","",'LIMS Data Entry'!I89)</f>
        <v/>
      </c>
    </row>
    <row r="103" spans="1:15" x14ac:dyDescent="0.2">
      <c r="A103" s="13">
        <v>89</v>
      </c>
      <c r="B103" s="7" t="str">
        <f t="shared" si="1"/>
        <v/>
      </c>
      <c r="C103" s="8"/>
      <c r="D103" s="14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 t="str">
        <f>IF('LIMS Data Entry'!I90="","",'LIMS Data Entry'!I90)</f>
        <v/>
      </c>
    </row>
    <row r="104" spans="1:15" x14ac:dyDescent="0.2">
      <c r="A104" s="13">
        <v>90</v>
      </c>
      <c r="B104" s="7" t="str">
        <f t="shared" si="1"/>
        <v/>
      </c>
      <c r="C104" s="8"/>
      <c r="D104" s="14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 t="str">
        <f>IF('LIMS Data Entry'!I91="","",'LIMS Data Entry'!I91)</f>
        <v/>
      </c>
    </row>
    <row r="105" spans="1:15" x14ac:dyDescent="0.2">
      <c r="A105" s="13">
        <v>91</v>
      </c>
      <c r="B105" s="7" t="str">
        <f t="shared" si="1"/>
        <v/>
      </c>
      <c r="C105" s="8"/>
      <c r="D105" s="14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 t="str">
        <f>IF('LIMS Data Entry'!I92="","",'LIMS Data Entry'!I92)</f>
        <v/>
      </c>
    </row>
    <row r="106" spans="1:15" x14ac:dyDescent="0.2">
      <c r="A106" s="13">
        <v>92</v>
      </c>
      <c r="B106" s="7" t="str">
        <f t="shared" si="1"/>
        <v/>
      </c>
      <c r="C106" s="8"/>
      <c r="D106" s="14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 t="str">
        <f>IF('LIMS Data Entry'!I93="","",'LIMS Data Entry'!I93)</f>
        <v/>
      </c>
    </row>
    <row r="107" spans="1:15" x14ac:dyDescent="0.2">
      <c r="A107" s="13">
        <v>93</v>
      </c>
      <c r="B107" s="7" t="str">
        <f t="shared" si="1"/>
        <v/>
      </c>
      <c r="C107" s="8"/>
      <c r="D107" s="14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 t="str">
        <f>IF('LIMS Data Entry'!I94="","",'LIMS Data Entry'!I94)</f>
        <v/>
      </c>
    </row>
    <row r="108" spans="1:15" x14ac:dyDescent="0.2">
      <c r="A108" s="13">
        <v>94</v>
      </c>
      <c r="B108" s="7" t="str">
        <f t="shared" si="1"/>
        <v/>
      </c>
      <c r="C108" s="8"/>
      <c r="D108" s="14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 t="str">
        <f>IF('LIMS Data Entry'!I95="","",'LIMS Data Entry'!I95)</f>
        <v/>
      </c>
    </row>
    <row r="109" spans="1:15" x14ac:dyDescent="0.2">
      <c r="A109" s="13">
        <v>95</v>
      </c>
      <c r="B109" s="7" t="str">
        <f t="shared" si="1"/>
        <v/>
      </c>
      <c r="C109" s="8"/>
      <c r="D109" s="14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 t="str">
        <f>IF('LIMS Data Entry'!I96="","",'LIMS Data Entry'!I96)</f>
        <v/>
      </c>
    </row>
    <row r="110" spans="1:15" x14ac:dyDescent="0.2">
      <c r="A110" s="13">
        <v>96</v>
      </c>
      <c r="B110" s="7" t="str">
        <f t="shared" si="1"/>
        <v/>
      </c>
      <c r="C110" s="8"/>
      <c r="D110" s="14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 t="str">
        <f>IF('LIMS Data Entry'!I97="","",'LIMS Data Entry'!I97)</f>
        <v/>
      </c>
    </row>
    <row r="111" spans="1:15" x14ac:dyDescent="0.2">
      <c r="A111" s="13">
        <v>97</v>
      </c>
      <c r="B111" s="7" t="str">
        <f t="shared" si="1"/>
        <v/>
      </c>
      <c r="C111" s="8"/>
      <c r="D111" s="14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 t="str">
        <f>IF('LIMS Data Entry'!I98="","",'LIMS Data Entry'!I98)</f>
        <v/>
      </c>
    </row>
    <row r="112" spans="1:15" x14ac:dyDescent="0.2">
      <c r="A112" s="13">
        <v>98</v>
      </c>
      <c r="B112" s="7" t="str">
        <f t="shared" si="1"/>
        <v/>
      </c>
      <c r="C112" s="8"/>
      <c r="D112" s="14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 t="str">
        <f>IF('LIMS Data Entry'!I99="","",'LIMS Data Entry'!I99)</f>
        <v/>
      </c>
    </row>
    <row r="113" spans="1:15" x14ac:dyDescent="0.2">
      <c r="A113" s="13">
        <v>99</v>
      </c>
      <c r="B113" s="7" t="str">
        <f t="shared" si="1"/>
        <v/>
      </c>
      <c r="C113" s="8"/>
      <c r="D113" s="14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 t="str">
        <f>IF('LIMS Data Entry'!I100="","",'LIMS Data Entry'!I100)</f>
        <v/>
      </c>
    </row>
    <row r="114" spans="1:15" x14ac:dyDescent="0.2">
      <c r="A114" s="13">
        <v>100</v>
      </c>
      <c r="B114" s="7" t="str">
        <f t="shared" si="1"/>
        <v/>
      </c>
      <c r="C114" s="8"/>
      <c r="D114" s="14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 t="str">
        <f>IF('LIMS Data Entry'!I101="","",'LIMS Data Entry'!I101)</f>
        <v/>
      </c>
    </row>
    <row r="115" spans="1:15" x14ac:dyDescent="0.2">
      <c r="A115" s="13">
        <v>101</v>
      </c>
      <c r="B115" s="7" t="str">
        <f t="shared" si="1"/>
        <v/>
      </c>
      <c r="C115" s="8"/>
      <c r="D115" s="14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 t="str">
        <f>IF('LIMS Data Entry'!I102="","",'LIMS Data Entry'!I102)</f>
        <v/>
      </c>
    </row>
    <row r="116" spans="1:15" x14ac:dyDescent="0.2">
      <c r="A116" s="13">
        <v>102</v>
      </c>
      <c r="B116" s="7" t="str">
        <f t="shared" si="1"/>
        <v/>
      </c>
      <c r="C116" s="8"/>
      <c r="D116" s="14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 t="str">
        <f>IF('LIMS Data Entry'!I103="","",'LIMS Data Entry'!I103)</f>
        <v/>
      </c>
    </row>
    <row r="117" spans="1:15" x14ac:dyDescent="0.2">
      <c r="A117" s="13">
        <v>103</v>
      </c>
      <c r="B117" s="7" t="str">
        <f t="shared" si="1"/>
        <v/>
      </c>
      <c r="C117" s="8"/>
      <c r="D117" s="14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 t="str">
        <f>IF('LIMS Data Entry'!I104="","",'LIMS Data Entry'!I104)</f>
        <v/>
      </c>
    </row>
    <row r="118" spans="1:15" x14ac:dyDescent="0.2">
      <c r="A118" s="13">
        <v>104</v>
      </c>
      <c r="B118" s="7" t="str">
        <f t="shared" si="1"/>
        <v/>
      </c>
      <c r="C118" s="8"/>
      <c r="D118" s="14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 t="str">
        <f>IF('LIMS Data Entry'!I105="","",'LIMS Data Entry'!I105)</f>
        <v/>
      </c>
    </row>
    <row r="119" spans="1:15" x14ac:dyDescent="0.2">
      <c r="A119" s="13">
        <v>105</v>
      </c>
      <c r="B119" s="7" t="str">
        <f t="shared" si="1"/>
        <v/>
      </c>
      <c r="C119" s="8"/>
      <c r="D119" s="14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 t="str">
        <f>IF('LIMS Data Entry'!I106="","",'LIMS Data Entry'!I106)</f>
        <v/>
      </c>
    </row>
    <row r="120" spans="1:15" x14ac:dyDescent="0.2">
      <c r="A120" s="13">
        <v>106</v>
      </c>
      <c r="B120" s="7" t="str">
        <f t="shared" si="1"/>
        <v/>
      </c>
      <c r="C120" s="8"/>
      <c r="D120" s="14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 t="str">
        <f>IF('LIMS Data Entry'!I107="","",'LIMS Data Entry'!I107)</f>
        <v/>
      </c>
    </row>
    <row r="121" spans="1:15" x14ac:dyDescent="0.2">
      <c r="A121" s="13">
        <v>107</v>
      </c>
      <c r="B121" s="7" t="str">
        <f t="shared" si="1"/>
        <v/>
      </c>
      <c r="C121" s="8"/>
      <c r="D121" s="14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 t="str">
        <f>IF('LIMS Data Entry'!I108="","",'LIMS Data Entry'!I108)</f>
        <v/>
      </c>
    </row>
    <row r="122" spans="1:15" x14ac:dyDescent="0.2">
      <c r="A122" s="13">
        <v>108</v>
      </c>
      <c r="B122" s="7" t="str">
        <f t="shared" si="1"/>
        <v/>
      </c>
      <c r="C122" s="8"/>
      <c r="D122" s="14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 t="str">
        <f>IF('LIMS Data Entry'!I109="","",'LIMS Data Entry'!I109)</f>
        <v/>
      </c>
    </row>
    <row r="123" spans="1:15" x14ac:dyDescent="0.2">
      <c r="A123" s="13">
        <v>109</v>
      </c>
      <c r="B123" s="7" t="str">
        <f t="shared" si="1"/>
        <v/>
      </c>
      <c r="C123" s="8"/>
      <c r="D123" s="14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 t="str">
        <f>IF('LIMS Data Entry'!I110="","",'LIMS Data Entry'!I110)</f>
        <v/>
      </c>
    </row>
    <row r="124" spans="1:15" x14ac:dyDescent="0.2">
      <c r="A124" s="13">
        <v>110</v>
      </c>
      <c r="B124" s="7" t="str">
        <f t="shared" si="1"/>
        <v/>
      </c>
      <c r="C124" s="8"/>
      <c r="D124" s="14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 t="str">
        <f>IF('LIMS Data Entry'!I111="","",'LIMS Data Entry'!I111)</f>
        <v/>
      </c>
    </row>
    <row r="125" spans="1:15" x14ac:dyDescent="0.2">
      <c r="A125" s="13">
        <v>111</v>
      </c>
      <c r="B125" s="7" t="str">
        <f t="shared" si="1"/>
        <v/>
      </c>
      <c r="C125" s="8"/>
      <c r="D125" s="14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 t="str">
        <f>IF('LIMS Data Entry'!I112="","",'LIMS Data Entry'!I112)</f>
        <v/>
      </c>
    </row>
    <row r="126" spans="1:15" x14ac:dyDescent="0.2">
      <c r="A126" s="13">
        <v>112</v>
      </c>
      <c r="B126" s="7" t="str">
        <f t="shared" si="1"/>
        <v/>
      </c>
      <c r="C126" s="8"/>
      <c r="D126" s="14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 t="str">
        <f>IF('LIMS Data Entry'!I113="","",'LIMS Data Entry'!I113)</f>
        <v/>
      </c>
    </row>
    <row r="127" spans="1:15" x14ac:dyDescent="0.2">
      <c r="A127" s="13">
        <v>113</v>
      </c>
      <c r="B127" s="7" t="str">
        <f t="shared" si="1"/>
        <v/>
      </c>
      <c r="C127" s="8"/>
      <c r="D127" s="14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 t="str">
        <f>IF('LIMS Data Entry'!I114="","",'LIMS Data Entry'!I114)</f>
        <v/>
      </c>
    </row>
    <row r="128" spans="1:15" x14ac:dyDescent="0.2">
      <c r="A128" s="13">
        <v>114</v>
      </c>
      <c r="B128" s="7" t="str">
        <f t="shared" si="1"/>
        <v/>
      </c>
      <c r="C128" s="8"/>
      <c r="D128" s="14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 t="str">
        <f>IF('LIMS Data Entry'!I115="","",'LIMS Data Entry'!I115)</f>
        <v/>
      </c>
    </row>
    <row r="129" spans="1:15" x14ac:dyDescent="0.2">
      <c r="A129" s="13">
        <v>115</v>
      </c>
      <c r="B129" s="7" t="str">
        <f t="shared" si="1"/>
        <v/>
      </c>
      <c r="C129" s="8"/>
      <c r="D129" s="14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 t="str">
        <f>IF('LIMS Data Entry'!I116="","",'LIMS Data Entry'!I116)</f>
        <v/>
      </c>
    </row>
    <row r="130" spans="1:15" x14ac:dyDescent="0.2">
      <c r="A130" s="13">
        <v>116</v>
      </c>
      <c r="B130" s="7" t="str">
        <f t="shared" si="1"/>
        <v/>
      </c>
      <c r="C130" s="8"/>
      <c r="D130" s="14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 t="str">
        <f>IF('LIMS Data Entry'!I117="","",'LIMS Data Entry'!I117)</f>
        <v/>
      </c>
    </row>
    <row r="131" spans="1:15" x14ac:dyDescent="0.2">
      <c r="A131" s="13">
        <v>117</v>
      </c>
      <c r="B131" s="7" t="str">
        <f t="shared" si="1"/>
        <v/>
      </c>
      <c r="C131" s="8"/>
      <c r="D131" s="14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 t="str">
        <f>IF('LIMS Data Entry'!I118="","",'LIMS Data Entry'!I118)</f>
        <v/>
      </c>
    </row>
  </sheetData>
  <mergeCells count="22">
    <mergeCell ref="A12:O12"/>
    <mergeCell ref="A13:J13"/>
    <mergeCell ref="K13:O13"/>
    <mergeCell ref="L9:O9"/>
    <mergeCell ref="A8:H8"/>
    <mergeCell ref="I8:K8"/>
    <mergeCell ref="L8:O8"/>
    <mergeCell ref="A10:H10"/>
    <mergeCell ref="I10:K10"/>
    <mergeCell ref="L10:O10"/>
    <mergeCell ref="A9:H9"/>
    <mergeCell ref="I9:K9"/>
    <mergeCell ref="A11:O11"/>
    <mergeCell ref="A5:H5"/>
    <mergeCell ref="A6:H6"/>
    <mergeCell ref="A7:H7"/>
    <mergeCell ref="I5:K5"/>
    <mergeCell ref="L5:O5"/>
    <mergeCell ref="I6:K6"/>
    <mergeCell ref="L6:O6"/>
    <mergeCell ref="I7:K7"/>
    <mergeCell ref="L7:O7"/>
  </mergeCells>
  <dataValidations count="1">
    <dataValidation type="list" allowBlank="1" showInputMessage="1" showErrorMessage="1" sqref="I6:K6" xr:uid="{0876793A-4FB1-4992-8D76-CF34032E4A99}">
      <formula1>INDIRECT("COCDV[SAP Name]")</formula1>
    </dataValidation>
  </dataValidations>
  <pageMargins left="0.25" right="0.25" top="0.75" bottom="0.75" header="0.3" footer="0.3"/>
  <pageSetup orientation="landscape" r:id="rId1"/>
  <headerFooter>
    <oddHeader xml:space="preserve">&amp;L </oddHeader>
    <oddFooter xml:space="preserve">&amp;RTotal Pages:1 &amp; | Pg. &amp;P 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8D87D-A801-41E9-A210-30D12788B222}">
  <sheetPr codeName="Sheet2"/>
  <dimension ref="A1:J118"/>
  <sheetViews>
    <sheetView showGridLines="0" zoomScale="130" zoomScaleNormal="130" workbookViewId="0">
      <selection activeCell="D14" sqref="D14"/>
    </sheetView>
  </sheetViews>
  <sheetFormatPr baseColWidth="10" defaultColWidth="8.83203125" defaultRowHeight="15" x14ac:dyDescent="0.2"/>
  <cols>
    <col min="1" max="1" width="4.83203125" customWidth="1"/>
    <col min="2" max="2" width="10.1640625" style="21" customWidth="1"/>
    <col min="3" max="3" width="10.1640625" customWidth="1"/>
    <col min="4" max="4" width="35.83203125" customWidth="1"/>
    <col min="5" max="5" width="16.83203125" customWidth="1"/>
    <col min="6" max="9" width="15.83203125" customWidth="1"/>
    <col min="10" max="10" width="28.5" customWidth="1"/>
  </cols>
  <sheetData>
    <row r="1" spans="1:10" s="4" customFormat="1" ht="30" customHeight="1" x14ac:dyDescent="0.2">
      <c r="A1" s="9" t="s">
        <v>4</v>
      </c>
      <c r="B1" s="19" t="s">
        <v>28</v>
      </c>
      <c r="C1" s="18" t="s">
        <v>29</v>
      </c>
      <c r="D1" s="16" t="s">
        <v>31</v>
      </c>
      <c r="E1" s="10" t="s">
        <v>32</v>
      </c>
      <c r="F1" s="10" t="s">
        <v>33</v>
      </c>
      <c r="G1" s="10" t="s">
        <v>34</v>
      </c>
      <c r="H1" s="10" t="s">
        <v>35</v>
      </c>
      <c r="I1" s="11" t="s">
        <v>25</v>
      </c>
      <c r="J1" s="11" t="s">
        <v>71</v>
      </c>
    </row>
    <row r="2" spans="1:10" x14ac:dyDescent="0.2">
      <c r="A2" s="13">
        <v>1</v>
      </c>
      <c r="B2" s="20">
        <f>IF(COC!B15="LEGION1",
INDEX(COCDV[LEGION1 RL'#],MATCH(COC!$I$6,COCDV[SAP Name])),
IF(COC!B15="LEGION",
INDEX(COCDV[LEGION RL'#],MATCH(COC!$I$6,COCDV[SAP Name])),"")
)</f>
        <v>0</v>
      </c>
      <c r="C2" s="17" t="s">
        <v>30</v>
      </c>
      <c r="D2" s="15" t="str">
        <f>IF(COC!I15="","",COC!I15)</f>
        <v>Cooling Tower</v>
      </c>
      <c r="E2" s="12" t="str">
        <f>IF(COC!C15="","",TEXT(COC!C15,"mmmm dd yyyy ")&amp;TEXT(COC!D15,"hh:mm am/pm"))</f>
        <v>June 14 2021 02:00 PM</v>
      </c>
      <c r="F2" s="7" t="s">
        <v>84</v>
      </c>
      <c r="G2" s="7" t="s">
        <v>84</v>
      </c>
      <c r="H2" s="7" t="s">
        <v>85</v>
      </c>
      <c r="I2" s="7"/>
      <c r="J2" s="7" t="str">
        <f>IF(D2="","",G2&amp;", "&amp;H2&amp;", "&amp;D2)</f>
        <v>CW, CT, Cooling Tower</v>
      </c>
    </row>
    <row r="3" spans="1:10" x14ac:dyDescent="0.2">
      <c r="A3" s="13">
        <v>2</v>
      </c>
      <c r="B3" s="20">
        <f>IF(COC!B16="LEGION1",
INDEX(COCDV[LEGION1 RL'#],MATCH(COC!$I$6,COCDV[SAP Name])),
IF(COC!B16="LEGION",
INDEX(COCDV[LEGION RL'#],MATCH(COC!$I$6,COCDV[SAP Name])),"")
)</f>
        <v>0</v>
      </c>
      <c r="C3" s="17" t="s">
        <v>30</v>
      </c>
      <c r="D3" s="15" t="str">
        <f>IF(COC!I16="","",COC!I16)</f>
        <v>Cooling Tower</v>
      </c>
      <c r="E3" s="12" t="str">
        <f>IF(COC!C16="","",TEXT(COC!C16,"mmmm dd yyyy ")&amp;TEXT(COC!D16,"hh:mm am/pm"))</f>
        <v>June 14 2021 02:00 PM</v>
      </c>
      <c r="F3" s="7" t="s">
        <v>84</v>
      </c>
      <c r="G3" s="7" t="s">
        <v>87</v>
      </c>
      <c r="H3" s="7" t="s">
        <v>85</v>
      </c>
      <c r="I3" s="7"/>
      <c r="J3" s="7" t="str">
        <f t="shared" ref="J3:J66" si="0">IF(D3="","",G3&amp;", "&amp;H3&amp;", "&amp;D3)</f>
        <v>CW , CT, Cooling Tower</v>
      </c>
    </row>
    <row r="4" spans="1:10" x14ac:dyDescent="0.2">
      <c r="A4" s="13">
        <v>3</v>
      </c>
      <c r="B4" s="20">
        <f>IF(COC!B17="LEGION1",
INDEX(COCDV[LEGION1 RL'#],MATCH(COC!$I$6,COCDV[SAP Name])),
IF(COC!B17="LEGION",
INDEX(COCDV[LEGION RL'#],MATCH(COC!$I$6,COCDV[SAP Name])),"")
)</f>
        <v>0</v>
      </c>
      <c r="C4" s="17" t="s">
        <v>30</v>
      </c>
      <c r="D4" s="15" t="s">
        <v>88</v>
      </c>
      <c r="E4" s="12" t="str">
        <f>IF(COC!C17="","",TEXT(COC!C17,"mmmm dd yyyy ")&amp;TEXT(COC!D17,"hh:mm am/pm"))</f>
        <v>June 14 2021 02:00 PM</v>
      </c>
      <c r="F4" s="7" t="s">
        <v>75</v>
      </c>
      <c r="G4" s="7" t="s">
        <v>76</v>
      </c>
      <c r="H4" s="7" t="s">
        <v>74</v>
      </c>
      <c r="I4" s="7"/>
      <c r="J4" s="7" t="str">
        <f t="shared" si="0"/>
        <v>PWC, SNK, PWC OLD 2W241</v>
      </c>
    </row>
    <row r="5" spans="1:10" x14ac:dyDescent="0.2">
      <c r="A5" s="13">
        <v>4</v>
      </c>
      <c r="B5" s="20">
        <f>IF(COC!B18="LEGION1",
INDEX(COCDV[LEGION1 RL'#],MATCH(COC!$I$6,COCDV[SAP Name])),
IF(COC!B18="LEGION",
INDEX(COCDV[LEGION RL'#],MATCH(COC!$I$6,COCDV[SAP Name])),"")
)</f>
        <v>0</v>
      </c>
      <c r="C5" s="17" t="s">
        <v>30</v>
      </c>
      <c r="D5" s="15" t="s">
        <v>89</v>
      </c>
      <c r="E5" s="12" t="str">
        <f>IF(COC!C18="","",TEXT(COC!C18,"mmmm dd yyyy ")&amp;TEXT(COC!D18,"hh:mm am/pm"))</f>
        <v>June 14 2021 02:00 PM</v>
      </c>
      <c r="F5" s="7" t="s">
        <v>75</v>
      </c>
      <c r="G5" s="7" t="s">
        <v>76</v>
      </c>
      <c r="H5" s="7" t="s">
        <v>74</v>
      </c>
      <c r="I5" s="7"/>
      <c r="J5" s="7" t="str">
        <f t="shared" si="0"/>
        <v>PWC, SNK, PWC NEW CCU ROOM 1</v>
      </c>
    </row>
    <row r="6" spans="1:10" x14ac:dyDescent="0.2">
      <c r="A6" s="13">
        <v>5</v>
      </c>
      <c r="B6" s="20">
        <f>IF(COC!B19="LEGION1",
INDEX(COCDV[LEGION1 RL'#],MATCH(COC!$I$6,COCDV[SAP Name])),
IF(COC!B19="LEGION",
INDEX(COCDV[LEGION RL'#],MATCH(COC!$I$6,COCDV[SAP Name])),"")
)</f>
        <v>0</v>
      </c>
      <c r="C6" s="17" t="s">
        <v>30</v>
      </c>
      <c r="D6" s="15" t="s">
        <v>91</v>
      </c>
      <c r="E6" s="12" t="str">
        <f>IF(COC!C19="","",TEXT(COC!C19,"mmmm dd yyyy ")&amp;TEXT(COC!D19,"hh:mm am/pm"))</f>
        <v>June 14 2021 02:00 PM</v>
      </c>
      <c r="F6" s="7" t="s">
        <v>75</v>
      </c>
      <c r="G6" s="7" t="s">
        <v>76</v>
      </c>
      <c r="H6" s="7" t="s">
        <v>82</v>
      </c>
      <c r="I6" s="7"/>
      <c r="J6" s="7" t="str">
        <f t="shared" si="0"/>
        <v>PWC, IM, PWC NEW 254</v>
      </c>
    </row>
    <row r="7" spans="1:10" x14ac:dyDescent="0.2">
      <c r="A7" s="13">
        <v>6</v>
      </c>
      <c r="B7" s="20">
        <f>IF(COC!B20="LEGION1",
INDEX(COCDV[LEGION1 RL'#],MATCH(COC!$I$6,COCDV[SAP Name])),
IF(COC!B20="LEGION",
INDEX(COCDV[LEGION RL'#],MATCH(COC!$I$6,COCDV[SAP Name])),"")
)</f>
        <v>0</v>
      </c>
      <c r="C7" s="17" t="s">
        <v>30</v>
      </c>
      <c r="D7" s="15" t="s">
        <v>90</v>
      </c>
      <c r="E7" s="12" t="str">
        <f>IF(COC!C20="","",TEXT(COC!C20,"mmmm dd yyyy ")&amp;TEXT(COC!D20,"hh:mm am/pm"))</f>
        <v>June 14 2021 02:00 PM</v>
      </c>
      <c r="F7" s="7" t="s">
        <v>77</v>
      </c>
      <c r="G7" s="7" t="s">
        <v>78</v>
      </c>
      <c r="H7" s="7" t="s">
        <v>74</v>
      </c>
      <c r="I7" s="7"/>
      <c r="J7" s="7" t="str">
        <f t="shared" si="0"/>
        <v xml:space="preserve">PWH, SNK, PWH NEW  254 </v>
      </c>
    </row>
    <row r="8" spans="1:10" x14ac:dyDescent="0.2">
      <c r="A8" s="13">
        <v>7</v>
      </c>
      <c r="B8" s="20">
        <v>74101</v>
      </c>
      <c r="C8" s="17" t="s">
        <v>30</v>
      </c>
      <c r="D8" s="15" t="s">
        <v>92</v>
      </c>
      <c r="E8" s="12" t="str">
        <f>IF(COC!C21="","",TEXT(COC!C21,"mmmm dd yyyy ")&amp;TEXT(COC!D21,"hh:mm am/pm"))</f>
        <v>June 14 2021 02:00 PM</v>
      </c>
      <c r="F8" s="7" t="s">
        <v>77</v>
      </c>
      <c r="G8" s="7" t="s">
        <v>78</v>
      </c>
      <c r="H8" s="7" t="s">
        <v>74</v>
      </c>
      <c r="I8" s="7"/>
      <c r="J8" s="7" t="str">
        <f t="shared" si="0"/>
        <v>PWH, SNK, PWH NEW 259</v>
      </c>
    </row>
    <row r="9" spans="1:10" x14ac:dyDescent="0.2">
      <c r="A9" s="13">
        <v>8</v>
      </c>
      <c r="B9" s="20">
        <v>74101</v>
      </c>
      <c r="C9" s="17" t="s">
        <v>30</v>
      </c>
      <c r="D9" s="15" t="s">
        <v>93</v>
      </c>
      <c r="E9" s="12" t="str">
        <f>IF(COC!C22="","",TEXT(COC!C22,"mmmm dd yyyy ")&amp;TEXT(COC!D22,"hh:mm am/pm"))</f>
        <v>June 14 2021 02:00 PM</v>
      </c>
      <c r="F9" s="7" t="s">
        <v>77</v>
      </c>
      <c r="G9" s="7" t="s">
        <v>78</v>
      </c>
      <c r="H9" s="7" t="s">
        <v>74</v>
      </c>
      <c r="I9" s="7"/>
      <c r="J9" s="7" t="str">
        <f t="shared" si="0"/>
        <v>PWH, SNK, PWH NEW CCU ROOM 1</v>
      </c>
    </row>
    <row r="10" spans="1:10" x14ac:dyDescent="0.2">
      <c r="A10" s="13">
        <v>9</v>
      </c>
      <c r="B10" s="20">
        <v>74101</v>
      </c>
      <c r="C10" s="17" t="s">
        <v>30</v>
      </c>
      <c r="D10" s="15" t="s">
        <v>94</v>
      </c>
      <c r="E10" s="12" t="str">
        <f>IF(COC!C23="","",TEXT(COC!C23,"mmmm dd yyyy ")&amp;TEXT(COC!D23,"hh:mm am/pm"))</f>
        <v>June 14 2021 02:00 PM</v>
      </c>
      <c r="F10" s="7" t="s">
        <v>77</v>
      </c>
      <c r="G10" s="7" t="s">
        <v>78</v>
      </c>
      <c r="H10" s="7" t="s">
        <v>74</v>
      </c>
      <c r="I10" s="7"/>
      <c r="J10" s="7" t="str">
        <f t="shared" si="0"/>
        <v>PWH, SNK, PWH OLD 2W241</v>
      </c>
    </row>
    <row r="11" spans="1:10" x14ac:dyDescent="0.2">
      <c r="A11" s="13">
        <v>10</v>
      </c>
      <c r="B11" s="20">
        <v>74101</v>
      </c>
      <c r="C11" s="17" t="s">
        <v>30</v>
      </c>
      <c r="D11" s="15" t="s">
        <v>95</v>
      </c>
      <c r="E11" s="12" t="str">
        <f>IF(COC!C24="","",TEXT(COC!C24,"mmmm dd yyyy ")&amp;TEXT(COC!D24,"hh:mm am/pm"))</f>
        <v>June 14 2021 02:00 PM</v>
      </c>
      <c r="F11" s="7" t="s">
        <v>77</v>
      </c>
      <c r="G11" s="7" t="s">
        <v>78</v>
      </c>
      <c r="H11" s="7" t="s">
        <v>74</v>
      </c>
      <c r="I11" s="7"/>
      <c r="J11" s="7" t="str">
        <f t="shared" si="0"/>
        <v>PWH, SNK, PWH OLD 2W NURSE PANTRY ACROSS FROM 234</v>
      </c>
    </row>
    <row r="12" spans="1:10" x14ac:dyDescent="0.2">
      <c r="A12" s="13">
        <v>11</v>
      </c>
      <c r="B12" s="20">
        <v>74101</v>
      </c>
      <c r="C12" s="17" t="s">
        <v>30</v>
      </c>
      <c r="D12" s="15" t="s">
        <v>96</v>
      </c>
      <c r="E12" s="12" t="str">
        <f>IF(COC!C25="","",TEXT(COC!C25,"mmmm dd yyyy ")&amp;TEXT(COC!D25,"hh:mm am/pm"))</f>
        <v>June 14 2021 02:00 PM</v>
      </c>
      <c r="F12" s="7" t="s">
        <v>77</v>
      </c>
      <c r="G12" s="7" t="s">
        <v>78</v>
      </c>
      <c r="H12" s="7" t="s">
        <v>74</v>
      </c>
      <c r="I12" s="7"/>
      <c r="J12" s="7" t="str">
        <f t="shared" si="0"/>
        <v>PWH, SNK, PWH OLD 2E202</v>
      </c>
    </row>
    <row r="13" spans="1:10" x14ac:dyDescent="0.2">
      <c r="A13" s="13">
        <v>12</v>
      </c>
      <c r="B13" s="20">
        <v>74101</v>
      </c>
      <c r="C13" s="17" t="s">
        <v>30</v>
      </c>
      <c r="D13" s="15" t="s">
        <v>97</v>
      </c>
      <c r="E13" s="12" t="str">
        <f>IF(COC!C26="","",TEXT(COC!C26,"mmmm dd yyyy ")&amp;TEXT(COC!D26,"hh:mm am/pm"))</f>
        <v>June 14 2021 02:00 PM</v>
      </c>
      <c r="F13" s="7" t="s">
        <v>51</v>
      </c>
      <c r="G13" s="7" t="s">
        <v>82</v>
      </c>
      <c r="H13" s="7" t="s">
        <v>83</v>
      </c>
      <c r="I13" s="7"/>
      <c r="J13" s="7" t="str">
        <f t="shared" si="0"/>
        <v>IM, IC, ICE IM07 2W NURSE PANTRY ACROSS FROM 234</v>
      </c>
    </row>
    <row r="14" spans="1:10" x14ac:dyDescent="0.2">
      <c r="A14" s="13">
        <v>13</v>
      </c>
      <c r="B14" s="20">
        <v>74101</v>
      </c>
      <c r="C14" s="17" t="s">
        <v>30</v>
      </c>
      <c r="D14" s="15" t="str">
        <f>IF(COC!I27="","",COC!I27)</f>
        <v/>
      </c>
      <c r="E14" s="12" t="str">
        <f>IF(COC!C27="","",TEXT(COC!C27,"mmmm dd yyyy ")&amp;TEXT(COC!D27,"hh:mm am/pm"))</f>
        <v/>
      </c>
      <c r="F14" s="7" t="s">
        <v>81</v>
      </c>
      <c r="G14" s="7" t="s">
        <v>81</v>
      </c>
      <c r="H14" s="7" t="s">
        <v>81</v>
      </c>
      <c r="I14" s="7"/>
      <c r="J14" s="7" t="str">
        <f t="shared" si="0"/>
        <v/>
      </c>
    </row>
    <row r="15" spans="1:10" x14ac:dyDescent="0.2">
      <c r="A15" s="13">
        <v>14</v>
      </c>
      <c r="B15" s="20">
        <v>74101</v>
      </c>
      <c r="C15" s="17" t="s">
        <v>30</v>
      </c>
      <c r="D15" s="15" t="str">
        <f>IF(COC!I28="","",COC!I28)</f>
        <v/>
      </c>
      <c r="E15" s="12" t="str">
        <f>IF(COC!C28="","",TEXT(COC!C28,"mmmm dd yyyy ")&amp;TEXT(COC!D28,"hh:mm am/pm"))</f>
        <v/>
      </c>
      <c r="F15" s="7" t="s">
        <v>81</v>
      </c>
      <c r="G15" s="7" t="s">
        <v>81</v>
      </c>
      <c r="H15" s="7" t="s">
        <v>81</v>
      </c>
      <c r="I15" s="7"/>
      <c r="J15" s="7" t="str">
        <f t="shared" si="0"/>
        <v/>
      </c>
    </row>
    <row r="16" spans="1:10" x14ac:dyDescent="0.2">
      <c r="A16" s="13">
        <v>15</v>
      </c>
      <c r="B16" s="20" t="str">
        <f>IF(COC!B29="LEGION1",
INDEX(COCDV[LEGION1 RL'#],MATCH(COC!$I$6,COCDV[SAP Name])),
IF(COC!B29="LEGION",
INDEX(COCDV[LEGION RL'#],MATCH(COC!$I$6,COCDV[SAP Name])),"")
)</f>
        <v/>
      </c>
      <c r="C16" s="17" t="s">
        <v>30</v>
      </c>
      <c r="D16" s="15" t="str">
        <f>IF(COC!I29="","",COC!I29)</f>
        <v/>
      </c>
      <c r="E16" s="12" t="str">
        <f>IF(COC!C29="","",TEXT(COC!C29,"mmmm dd yyyy ")&amp;TEXT(COC!D29,"hh:mm am/pm"))</f>
        <v/>
      </c>
      <c r="F16" s="7"/>
      <c r="G16" s="7" t="str">
        <f>IF(COC!E29="","",COC!E29)</f>
        <v/>
      </c>
      <c r="H16" s="7" t="str">
        <f>IF(COC!H29="","",COC!H29)</f>
        <v/>
      </c>
      <c r="I16" s="7"/>
      <c r="J16" s="7" t="str">
        <f t="shared" si="0"/>
        <v/>
      </c>
    </row>
    <row r="17" spans="1:10" x14ac:dyDescent="0.2">
      <c r="A17" s="13">
        <v>16</v>
      </c>
      <c r="B17" s="20" t="str">
        <f>IF(COC!B30="LEGION1",
INDEX(COCDV[LEGION1 RL'#],MATCH(COC!$I$6,COCDV[SAP Name])),
IF(COC!B30="LEGION",
INDEX(COCDV[LEGION RL'#],MATCH(COC!$I$6,COCDV[SAP Name])),"")
)</f>
        <v/>
      </c>
      <c r="C17" s="17" t="s">
        <v>30</v>
      </c>
      <c r="D17" s="15" t="str">
        <f>IF(COC!I30="","",COC!I30)</f>
        <v/>
      </c>
      <c r="E17" s="12" t="str">
        <f>IF(COC!C30="","",TEXT(COC!C30,"mmmm dd yyyy ")&amp;TEXT(COC!D30,"hh:mm am/pm"))</f>
        <v/>
      </c>
      <c r="F17" s="7"/>
      <c r="G17" s="7" t="str">
        <f>IF(COC!E30="","",COC!E30)</f>
        <v/>
      </c>
      <c r="H17" s="7" t="str">
        <f>IF(COC!H30="","",COC!H30)</f>
        <v/>
      </c>
      <c r="I17" s="7"/>
      <c r="J17" s="7" t="str">
        <f t="shared" si="0"/>
        <v/>
      </c>
    </row>
    <row r="18" spans="1:10" x14ac:dyDescent="0.2">
      <c r="A18" s="13">
        <v>17</v>
      </c>
      <c r="B18" s="20" t="str">
        <f>IF(COC!B31="LEGION1",
INDEX(COCDV[LEGION1 RL'#],MATCH(COC!$I$6,COCDV[SAP Name])),
IF(COC!B31="LEGION",
INDEX(COCDV[LEGION RL'#],MATCH(COC!$I$6,COCDV[SAP Name])),"")
)</f>
        <v/>
      </c>
      <c r="C18" s="17" t="s">
        <v>30</v>
      </c>
      <c r="D18" s="15" t="str">
        <f>IF(COC!I31="","",COC!I31)</f>
        <v/>
      </c>
      <c r="E18" s="12" t="str">
        <f>IF(COC!C31="","",TEXT(COC!C31,"mmmm dd yyyy ")&amp;TEXT(COC!D31,"hh:mm am/pm"))</f>
        <v/>
      </c>
      <c r="F18" s="7"/>
      <c r="G18" s="7" t="str">
        <f>IF(COC!E31="","",COC!E31)</f>
        <v/>
      </c>
      <c r="H18" s="7" t="str">
        <f>IF(COC!H31="","",COC!H31)</f>
        <v/>
      </c>
      <c r="I18" s="7"/>
      <c r="J18" s="7" t="str">
        <f t="shared" si="0"/>
        <v/>
      </c>
    </row>
    <row r="19" spans="1:10" x14ac:dyDescent="0.2">
      <c r="A19" s="13">
        <v>18</v>
      </c>
      <c r="B19" s="20" t="str">
        <f>IF(COC!B32="LEGION1",
INDEX(COCDV[LEGION1 RL'#],MATCH(COC!$I$6,COCDV[SAP Name])),
IF(COC!B32="LEGION",
INDEX(COCDV[LEGION RL'#],MATCH(COC!$I$6,COCDV[SAP Name])),"")
)</f>
        <v/>
      </c>
      <c r="C19" s="17" t="s">
        <v>30</v>
      </c>
      <c r="D19" s="15" t="str">
        <f>IF(COC!I32="","",COC!I32)</f>
        <v/>
      </c>
      <c r="E19" s="12" t="str">
        <f>IF(COC!C32="","",TEXT(COC!C32,"mmmm dd yyyy ")&amp;TEXT(COC!D32,"hh:mm am/pm"))</f>
        <v/>
      </c>
      <c r="F19" s="7"/>
      <c r="G19" s="7" t="str">
        <f>IF(COC!E32="","",COC!E32)</f>
        <v/>
      </c>
      <c r="H19" s="7" t="str">
        <f>IF(COC!H32="","",COC!H32)</f>
        <v/>
      </c>
      <c r="I19" s="7"/>
      <c r="J19" s="7" t="str">
        <f t="shared" si="0"/>
        <v/>
      </c>
    </row>
    <row r="20" spans="1:10" x14ac:dyDescent="0.2">
      <c r="A20" s="13">
        <v>19</v>
      </c>
      <c r="B20" s="20" t="str">
        <f>IF(COC!B33="LEGION1",
INDEX(COCDV[LEGION1 RL'#],MATCH(COC!$I$6,COCDV[SAP Name])),
IF(COC!B33="LEGION",
INDEX(COCDV[LEGION RL'#],MATCH(COC!$I$6,COCDV[SAP Name])),"")
)</f>
        <v/>
      </c>
      <c r="C20" s="17" t="s">
        <v>30</v>
      </c>
      <c r="D20" s="15" t="str">
        <f>IF(COC!I33="","",COC!I33)</f>
        <v/>
      </c>
      <c r="E20" s="12" t="str">
        <f>IF(COC!C33="","",TEXT(COC!C33,"mmmm dd yyyy ")&amp;TEXT(COC!D33,"hh:mm am/pm"))</f>
        <v/>
      </c>
      <c r="F20" s="7"/>
      <c r="G20" s="7" t="str">
        <f>IF(COC!E33="","",COC!E33)</f>
        <v/>
      </c>
      <c r="H20" s="7" t="str">
        <f>IF(COC!H33="","",COC!H33)</f>
        <v/>
      </c>
      <c r="I20" s="7"/>
      <c r="J20" s="7" t="str">
        <f t="shared" si="0"/>
        <v/>
      </c>
    </row>
    <row r="21" spans="1:10" x14ac:dyDescent="0.2">
      <c r="A21" s="13">
        <v>20</v>
      </c>
      <c r="B21" s="20" t="str">
        <f>IF(COC!B34="LEGION1",
INDEX(COCDV[LEGION1 RL'#],MATCH(COC!$I$6,COCDV[SAP Name])),
IF(COC!B34="LEGION",
INDEX(COCDV[LEGION RL'#],MATCH(COC!$I$6,COCDV[SAP Name])),"")
)</f>
        <v/>
      </c>
      <c r="C21" s="17" t="s">
        <v>30</v>
      </c>
      <c r="D21" s="15" t="str">
        <f>IF(COC!I34="","",COC!I34)</f>
        <v/>
      </c>
      <c r="E21" s="12" t="str">
        <f>IF(COC!C34="","",TEXT(COC!C34,"mmmm dd yyyy ")&amp;TEXT(COC!D34,"hh:mm am/pm"))</f>
        <v/>
      </c>
      <c r="F21" s="7"/>
      <c r="G21" s="7" t="str">
        <f>IF(COC!E34="","",COC!E34)</f>
        <v/>
      </c>
      <c r="H21" s="7" t="str">
        <f>IF(COC!H34="","",COC!H34)</f>
        <v/>
      </c>
      <c r="I21" s="7"/>
      <c r="J21" s="7" t="str">
        <f t="shared" si="0"/>
        <v/>
      </c>
    </row>
    <row r="22" spans="1:10" x14ac:dyDescent="0.2">
      <c r="A22" s="13">
        <v>21</v>
      </c>
      <c r="B22" s="20" t="str">
        <f>IF(COC!B35="LEGION1",
INDEX(COCDV[LEGION1 RL'#],MATCH(COC!$I$6,COCDV[SAP Name])),
IF(COC!B35="LEGION",
INDEX(COCDV[LEGION RL'#],MATCH(COC!$I$6,COCDV[SAP Name])),"")
)</f>
        <v/>
      </c>
      <c r="C22" s="17" t="s">
        <v>30</v>
      </c>
      <c r="D22" s="15" t="str">
        <f>IF(COC!I35="","",COC!I35)</f>
        <v/>
      </c>
      <c r="E22" s="12" t="str">
        <f>IF(COC!C35="","",TEXT(COC!C35,"mmmm dd yyyy ")&amp;TEXT(COC!D35,"hh:mm am/pm"))</f>
        <v/>
      </c>
      <c r="F22" s="7"/>
      <c r="G22" s="7" t="str">
        <f>IF(COC!E35="","",COC!E35)</f>
        <v/>
      </c>
      <c r="H22" s="7" t="str">
        <f>IF(COC!H35="","",COC!H35)</f>
        <v/>
      </c>
      <c r="I22" s="7"/>
      <c r="J22" s="7" t="str">
        <f t="shared" si="0"/>
        <v/>
      </c>
    </row>
    <row r="23" spans="1:10" x14ac:dyDescent="0.2">
      <c r="A23" s="13">
        <v>22</v>
      </c>
      <c r="B23" s="20" t="str">
        <f>IF(COC!B36="LEGION1",
INDEX(COCDV[LEGION1 RL'#],MATCH(COC!$I$6,COCDV[SAP Name])),
IF(COC!B36="LEGION",
INDEX(COCDV[LEGION RL'#],MATCH(COC!$I$6,COCDV[SAP Name])),"")
)</f>
        <v/>
      </c>
      <c r="C23" s="17" t="s">
        <v>30</v>
      </c>
      <c r="D23" s="15" t="str">
        <f>IF(COC!I36="","",COC!I36)</f>
        <v/>
      </c>
      <c r="E23" s="12" t="str">
        <f>IF(COC!C36="","",TEXT(COC!C36,"mmmm dd yyyy ")&amp;TEXT(COC!D36,"hh:mm am/pm"))</f>
        <v/>
      </c>
      <c r="F23" s="7"/>
      <c r="G23" s="7" t="str">
        <f>IF(COC!E36="","",COC!E36)</f>
        <v/>
      </c>
      <c r="H23" s="7" t="str">
        <f>IF(COC!H36="","",COC!H36)</f>
        <v/>
      </c>
      <c r="I23" s="7"/>
      <c r="J23" s="7" t="str">
        <f t="shared" si="0"/>
        <v/>
      </c>
    </row>
    <row r="24" spans="1:10" x14ac:dyDescent="0.2">
      <c r="A24" s="13">
        <v>23</v>
      </c>
      <c r="B24" s="20" t="str">
        <f>IF(COC!B37="LEGION1",
INDEX(COCDV[LEGION1 RL'#],MATCH(COC!$I$6,COCDV[SAP Name])),
IF(COC!B37="LEGION",
INDEX(COCDV[LEGION RL'#],MATCH(COC!$I$6,COCDV[SAP Name])),"")
)</f>
        <v/>
      </c>
      <c r="C24" s="17" t="s">
        <v>30</v>
      </c>
      <c r="D24" s="15" t="str">
        <f>IF(COC!I37="","",COC!I37)</f>
        <v/>
      </c>
      <c r="E24" s="12" t="str">
        <f>IF(COC!C37="","",TEXT(COC!C37,"mmmm dd yyyy ")&amp;TEXT(COC!D37,"hh:mm am/pm"))</f>
        <v/>
      </c>
      <c r="F24" s="7"/>
      <c r="G24" s="7" t="str">
        <f>IF(COC!E37="","",COC!E37)</f>
        <v/>
      </c>
      <c r="H24" s="7" t="str">
        <f>IF(COC!H37="","",COC!H37)</f>
        <v/>
      </c>
      <c r="I24" s="7"/>
      <c r="J24" s="7" t="str">
        <f t="shared" si="0"/>
        <v/>
      </c>
    </row>
    <row r="25" spans="1:10" x14ac:dyDescent="0.2">
      <c r="A25" s="13">
        <v>24</v>
      </c>
      <c r="B25" s="20" t="str">
        <f>IF(COC!B38="LEGION1",
INDEX(COCDV[LEGION1 RL'#],MATCH(COC!$I$6,COCDV[SAP Name])),
IF(COC!B38="LEGION",
INDEX(COCDV[LEGION RL'#],MATCH(COC!$I$6,COCDV[SAP Name])),"")
)</f>
        <v/>
      </c>
      <c r="C25" s="17" t="s">
        <v>30</v>
      </c>
      <c r="D25" s="15" t="str">
        <f>IF(COC!I38="","",COC!I38)</f>
        <v/>
      </c>
      <c r="E25" s="12" t="str">
        <f>IF(COC!C38="","",TEXT(COC!C38,"mmmm dd yyyy ")&amp;TEXT(COC!D38,"hh:mm am/pm"))</f>
        <v/>
      </c>
      <c r="F25" s="7"/>
      <c r="G25" s="7" t="str">
        <f>IF(COC!E38="","",COC!E38)</f>
        <v/>
      </c>
      <c r="H25" s="7" t="str">
        <f>IF(COC!H38="","",COC!H38)</f>
        <v/>
      </c>
      <c r="I25" s="7"/>
      <c r="J25" s="7" t="str">
        <f t="shared" si="0"/>
        <v/>
      </c>
    </row>
    <row r="26" spans="1:10" x14ac:dyDescent="0.2">
      <c r="A26" s="13">
        <v>25</v>
      </c>
      <c r="B26" s="20" t="str">
        <f>IF(COC!B39="LEGION1",
INDEX(COCDV[LEGION1 RL'#],MATCH(COC!$I$6,COCDV[SAP Name])),
IF(COC!B39="LEGION",
INDEX(COCDV[LEGION RL'#],MATCH(COC!$I$6,COCDV[SAP Name])),"")
)</f>
        <v/>
      </c>
      <c r="C26" s="17" t="s">
        <v>30</v>
      </c>
      <c r="D26" s="15" t="str">
        <f>IF(COC!I39="","",COC!I39)</f>
        <v/>
      </c>
      <c r="E26" s="12" t="str">
        <f>IF(COC!C39="","",TEXT(COC!C39,"mmmm dd yyyy ")&amp;TEXT(COC!D39,"hh:mm am/pm"))</f>
        <v/>
      </c>
      <c r="F26" s="7"/>
      <c r="G26" s="7" t="str">
        <f>IF(COC!E39="","",COC!E39)</f>
        <v/>
      </c>
      <c r="H26" s="7" t="str">
        <f>IF(COC!H39="","",COC!H39)</f>
        <v/>
      </c>
      <c r="I26" s="7"/>
      <c r="J26" s="7" t="str">
        <f t="shared" si="0"/>
        <v/>
      </c>
    </row>
    <row r="27" spans="1:10" x14ac:dyDescent="0.2">
      <c r="A27" s="13">
        <v>26</v>
      </c>
      <c r="B27" s="20" t="str">
        <f>IF(COC!B40="LEGION1",
INDEX(COCDV[LEGION1 RL'#],MATCH(COC!$I$6,COCDV[SAP Name])),
IF(COC!B40="LEGION",
INDEX(COCDV[LEGION RL'#],MATCH(COC!$I$6,COCDV[SAP Name])),"")
)</f>
        <v/>
      </c>
      <c r="C27" s="17" t="s">
        <v>30</v>
      </c>
      <c r="D27" s="15" t="str">
        <f>IF(COC!I40="","",COC!I40)</f>
        <v/>
      </c>
      <c r="E27" s="12" t="str">
        <f>IF(COC!C40="","",TEXT(COC!C40,"mmmm dd yyyy ")&amp;TEXT(COC!D40,"hh:mm am/pm"))</f>
        <v/>
      </c>
      <c r="F27" s="7"/>
      <c r="G27" s="7" t="str">
        <f>IF(COC!E40="","",COC!E40)</f>
        <v/>
      </c>
      <c r="H27" s="7" t="str">
        <f>IF(COC!H40="","",COC!H40)</f>
        <v/>
      </c>
      <c r="I27" s="7"/>
      <c r="J27" s="7" t="str">
        <f t="shared" si="0"/>
        <v/>
      </c>
    </row>
    <row r="28" spans="1:10" x14ac:dyDescent="0.2">
      <c r="A28" s="13">
        <v>27</v>
      </c>
      <c r="B28" s="20" t="str">
        <f>IF(COC!B41="LEGION1",
INDEX(COCDV[LEGION1 RL'#],MATCH(COC!$I$6,COCDV[SAP Name])),
IF(COC!B41="LEGION",
INDEX(COCDV[LEGION RL'#],MATCH(COC!$I$6,COCDV[SAP Name])),"")
)</f>
        <v/>
      </c>
      <c r="C28" s="17" t="s">
        <v>30</v>
      </c>
      <c r="D28" s="15" t="str">
        <f>IF(COC!I41="","",COC!I41)</f>
        <v/>
      </c>
      <c r="E28" s="12" t="str">
        <f>IF(COC!C41="","",TEXT(COC!C41,"mmmm dd yyyy ")&amp;TEXT(COC!D41,"hh:mm am/pm"))</f>
        <v/>
      </c>
      <c r="F28" s="7"/>
      <c r="G28" s="7" t="str">
        <f>IF(COC!E41="","",COC!E41)</f>
        <v/>
      </c>
      <c r="H28" s="7" t="str">
        <f>IF(COC!H41="","",COC!H41)</f>
        <v/>
      </c>
      <c r="I28" s="7"/>
      <c r="J28" s="7" t="str">
        <f t="shared" si="0"/>
        <v/>
      </c>
    </row>
    <row r="29" spans="1:10" x14ac:dyDescent="0.2">
      <c r="A29" s="13">
        <v>28</v>
      </c>
      <c r="B29" s="20" t="str">
        <f>IF(COC!B42="LEGION1",
INDEX(COCDV[LEGION1 RL'#],MATCH(COC!$I$6,COCDV[SAP Name])),
IF(COC!B42="LEGION",
INDEX(COCDV[LEGION RL'#],MATCH(COC!$I$6,COCDV[SAP Name])),"")
)</f>
        <v/>
      </c>
      <c r="C29" s="17" t="s">
        <v>30</v>
      </c>
      <c r="D29" s="15" t="str">
        <f>IF(COC!I42="","",COC!I42)</f>
        <v/>
      </c>
      <c r="E29" s="12" t="str">
        <f>IF(COC!C42="","",TEXT(COC!C42,"mmmm dd yyyy ")&amp;TEXT(COC!D42,"hh:mm am/pm"))</f>
        <v/>
      </c>
      <c r="F29" s="7"/>
      <c r="G29" s="7" t="str">
        <f>IF(COC!E42="","",COC!E42)</f>
        <v/>
      </c>
      <c r="H29" s="7" t="str">
        <f>IF(COC!H42="","",COC!H42)</f>
        <v/>
      </c>
      <c r="I29" s="7"/>
      <c r="J29" s="7" t="str">
        <f t="shared" si="0"/>
        <v/>
      </c>
    </row>
    <row r="30" spans="1:10" x14ac:dyDescent="0.2">
      <c r="A30" s="13">
        <v>29</v>
      </c>
      <c r="B30" s="20" t="str">
        <f>IF(COC!B43="LEGION1",
INDEX(COCDV[LEGION1 RL'#],MATCH(COC!$I$6,COCDV[SAP Name])),
IF(COC!B43="LEGION",
INDEX(COCDV[LEGION RL'#],MATCH(COC!$I$6,COCDV[SAP Name])),"")
)</f>
        <v/>
      </c>
      <c r="C30" s="17" t="s">
        <v>30</v>
      </c>
      <c r="D30" s="15" t="str">
        <f>IF(COC!I43="","",COC!I43)</f>
        <v/>
      </c>
      <c r="E30" s="12" t="str">
        <f>IF(COC!C43="","",TEXT(COC!C43,"mmmm dd yyyy ")&amp;TEXT(COC!D43,"hh:mm am/pm"))</f>
        <v/>
      </c>
      <c r="F30" s="7"/>
      <c r="G30" s="7" t="str">
        <f>IF(COC!E43="","",COC!E43)</f>
        <v/>
      </c>
      <c r="H30" s="7" t="str">
        <f>IF(COC!H43="","",COC!H43)</f>
        <v/>
      </c>
      <c r="I30" s="7"/>
      <c r="J30" s="7" t="str">
        <f t="shared" si="0"/>
        <v/>
      </c>
    </row>
    <row r="31" spans="1:10" x14ac:dyDescent="0.2">
      <c r="A31" s="13">
        <v>30</v>
      </c>
      <c r="B31" s="20" t="str">
        <f>IF(COC!B44="LEGION1",
INDEX(COCDV[LEGION1 RL'#],MATCH(COC!$I$6,COCDV[SAP Name])),
IF(COC!B44="LEGION",
INDEX(COCDV[LEGION RL'#],MATCH(COC!$I$6,COCDV[SAP Name])),"")
)</f>
        <v/>
      </c>
      <c r="C31" s="17" t="s">
        <v>30</v>
      </c>
      <c r="D31" s="15" t="str">
        <f>IF(COC!I44="","",COC!I44)</f>
        <v/>
      </c>
      <c r="E31" s="12" t="str">
        <f>IF(COC!C44="","",TEXT(COC!C44,"mmmm dd yyyy ")&amp;TEXT(COC!D44,"hh:mm am/pm"))</f>
        <v/>
      </c>
      <c r="F31" s="7"/>
      <c r="G31" s="7" t="str">
        <f>IF(COC!E44="","",COC!E44)</f>
        <v/>
      </c>
      <c r="H31" s="7" t="str">
        <f>IF(COC!H44="","",COC!H44)</f>
        <v/>
      </c>
      <c r="I31" s="7"/>
      <c r="J31" s="7" t="str">
        <f t="shared" si="0"/>
        <v/>
      </c>
    </row>
    <row r="32" spans="1:10" x14ac:dyDescent="0.2">
      <c r="A32" s="13">
        <v>31</v>
      </c>
      <c r="B32" s="20" t="str">
        <f>IF(COC!B45="LEGION1",
INDEX(COCDV[LEGION1 RL'#],MATCH(COC!$I$6,COCDV[SAP Name])),
IF(COC!B45="LEGION",
INDEX(COCDV[LEGION RL'#],MATCH(COC!$I$6,COCDV[SAP Name])),"")
)</f>
        <v/>
      </c>
      <c r="C32" s="17" t="s">
        <v>30</v>
      </c>
      <c r="D32" s="15" t="str">
        <f>IF(COC!I45="","",COC!I45)</f>
        <v/>
      </c>
      <c r="E32" s="12" t="str">
        <f>IF(COC!C45="","",TEXT(COC!C45,"mmmm dd yyyy ")&amp;TEXT(COC!D45,"hh:mm am/pm"))</f>
        <v/>
      </c>
      <c r="F32" s="7"/>
      <c r="G32" s="7" t="str">
        <f>IF(COC!E45="","",COC!E45)</f>
        <v/>
      </c>
      <c r="H32" s="7" t="str">
        <f>IF(COC!H45="","",COC!H45)</f>
        <v/>
      </c>
      <c r="I32" s="7"/>
      <c r="J32" s="7" t="str">
        <f t="shared" si="0"/>
        <v/>
      </c>
    </row>
    <row r="33" spans="1:10" x14ac:dyDescent="0.2">
      <c r="A33" s="13">
        <v>32</v>
      </c>
      <c r="B33" s="20" t="str">
        <f>IF(COC!B46="LEGION1",
INDEX(COCDV[LEGION1 RL'#],MATCH(COC!$I$6,COCDV[SAP Name])),
IF(COC!B46="LEGION",
INDEX(COCDV[LEGION RL'#],MATCH(COC!$I$6,COCDV[SAP Name])),"")
)</f>
        <v/>
      </c>
      <c r="C33" s="17" t="s">
        <v>30</v>
      </c>
      <c r="D33" s="15" t="str">
        <f>IF(COC!I46="","",COC!I46)</f>
        <v/>
      </c>
      <c r="E33" s="12" t="str">
        <f>IF(COC!C46="","",TEXT(COC!C46,"mmmm dd yyyy ")&amp;TEXT(COC!D46,"hh:mm am/pm"))</f>
        <v/>
      </c>
      <c r="F33" s="7"/>
      <c r="G33" s="7" t="str">
        <f>IF(COC!E46="","",COC!E46)</f>
        <v/>
      </c>
      <c r="H33" s="7" t="str">
        <f>IF(COC!H46="","",COC!H46)</f>
        <v/>
      </c>
      <c r="I33" s="7"/>
      <c r="J33" s="7" t="str">
        <f t="shared" si="0"/>
        <v/>
      </c>
    </row>
    <row r="34" spans="1:10" x14ac:dyDescent="0.2">
      <c r="A34" s="13">
        <v>33</v>
      </c>
      <c r="B34" s="20" t="str">
        <f>IF(COC!B47="LEGION1",
INDEX(COCDV[LEGION1 RL'#],MATCH(COC!$I$6,COCDV[SAP Name])),
IF(COC!B47="LEGION",
INDEX(COCDV[LEGION RL'#],MATCH(COC!$I$6,COCDV[SAP Name])),"")
)</f>
        <v/>
      </c>
      <c r="C34" s="17" t="s">
        <v>30</v>
      </c>
      <c r="D34" s="15" t="str">
        <f>IF(COC!I47="","",COC!I47)</f>
        <v/>
      </c>
      <c r="E34" s="12" t="str">
        <f>IF(COC!C47="","",TEXT(COC!C47,"mmmm dd yyyy ")&amp;TEXT(COC!D47,"hh:mm am/pm"))</f>
        <v/>
      </c>
      <c r="F34" s="7"/>
      <c r="G34" s="7" t="str">
        <f>IF(COC!E47="","",COC!E47)</f>
        <v/>
      </c>
      <c r="H34" s="7" t="str">
        <f>IF(COC!H47="","",COC!H47)</f>
        <v/>
      </c>
      <c r="I34" s="7"/>
      <c r="J34" s="7" t="str">
        <f t="shared" si="0"/>
        <v/>
      </c>
    </row>
    <row r="35" spans="1:10" x14ac:dyDescent="0.2">
      <c r="A35" s="13">
        <v>34</v>
      </c>
      <c r="B35" s="20" t="str">
        <f>IF(COC!B48="LEGION1",
INDEX(COCDV[LEGION1 RL'#],MATCH(COC!$I$6,COCDV[SAP Name])),
IF(COC!B48="LEGION",
INDEX(COCDV[LEGION RL'#],MATCH(COC!$I$6,COCDV[SAP Name])),"")
)</f>
        <v/>
      </c>
      <c r="C35" s="17" t="s">
        <v>30</v>
      </c>
      <c r="D35" s="15" t="str">
        <f>IF(COC!I48="","",COC!I48)</f>
        <v/>
      </c>
      <c r="E35" s="12" t="str">
        <f>IF(COC!C48="","",TEXT(COC!C48,"mmmm dd yyyy ")&amp;TEXT(COC!D48,"hh:mm am/pm"))</f>
        <v/>
      </c>
      <c r="F35" s="7"/>
      <c r="G35" s="7" t="str">
        <f>IF(COC!E48="","",COC!E48)</f>
        <v/>
      </c>
      <c r="H35" s="7" t="str">
        <f>IF(COC!H48="","",COC!H48)</f>
        <v/>
      </c>
      <c r="I35" s="7"/>
      <c r="J35" s="7" t="str">
        <f t="shared" si="0"/>
        <v/>
      </c>
    </row>
    <row r="36" spans="1:10" x14ac:dyDescent="0.2">
      <c r="A36" s="13">
        <v>35</v>
      </c>
      <c r="B36" s="20" t="str">
        <f>IF(COC!B49="LEGION1",
INDEX(COCDV[LEGION1 RL'#],MATCH(COC!$I$6,COCDV[SAP Name])),
IF(COC!B49="LEGION",
INDEX(COCDV[LEGION RL'#],MATCH(COC!$I$6,COCDV[SAP Name])),"")
)</f>
        <v/>
      </c>
      <c r="C36" s="17" t="s">
        <v>30</v>
      </c>
      <c r="D36" s="15" t="str">
        <f>IF(COC!I49="","",COC!I49)</f>
        <v/>
      </c>
      <c r="E36" s="12" t="str">
        <f>IF(COC!C49="","",TEXT(COC!C49,"mmmm dd yyyy ")&amp;TEXT(COC!D49,"hh:mm am/pm"))</f>
        <v/>
      </c>
      <c r="F36" s="7"/>
      <c r="G36" s="7" t="str">
        <f>IF(COC!E49="","",COC!E49)</f>
        <v/>
      </c>
      <c r="H36" s="7" t="str">
        <f>IF(COC!H49="","",COC!H49)</f>
        <v/>
      </c>
      <c r="I36" s="7"/>
      <c r="J36" s="7" t="str">
        <f t="shared" si="0"/>
        <v/>
      </c>
    </row>
    <row r="37" spans="1:10" x14ac:dyDescent="0.2">
      <c r="A37" s="13">
        <v>36</v>
      </c>
      <c r="B37" s="20" t="str">
        <f>IF(COC!B50="LEGION1",
INDEX(COCDV[LEGION1 RL'#],MATCH(COC!$I$6,COCDV[SAP Name])),
IF(COC!B50="LEGION",
INDEX(COCDV[LEGION RL'#],MATCH(COC!$I$6,COCDV[SAP Name])),"")
)</f>
        <v/>
      </c>
      <c r="C37" s="17" t="s">
        <v>30</v>
      </c>
      <c r="D37" s="15" t="str">
        <f>IF(COC!I50="","",COC!I50)</f>
        <v/>
      </c>
      <c r="E37" s="12" t="str">
        <f>IF(COC!C50="","",TEXT(COC!C50,"mmmm dd yyyy ")&amp;TEXT(COC!D50,"hh:mm am/pm"))</f>
        <v/>
      </c>
      <c r="F37" s="7"/>
      <c r="G37" s="7" t="str">
        <f>IF(COC!E50="","",COC!E50)</f>
        <v/>
      </c>
      <c r="H37" s="7" t="str">
        <f>IF(COC!H50="","",COC!H50)</f>
        <v/>
      </c>
      <c r="I37" s="7"/>
      <c r="J37" s="7" t="str">
        <f t="shared" si="0"/>
        <v/>
      </c>
    </row>
    <row r="38" spans="1:10" x14ac:dyDescent="0.2">
      <c r="A38" s="13">
        <v>37</v>
      </c>
      <c r="B38" s="20" t="str">
        <f>IF(COC!B51="LEGION1",
INDEX(COCDV[LEGION1 RL'#],MATCH(COC!$I$6,COCDV[SAP Name])),
IF(COC!B51="LEGION",
INDEX(COCDV[LEGION RL'#],MATCH(COC!$I$6,COCDV[SAP Name])),"")
)</f>
        <v/>
      </c>
      <c r="C38" s="17" t="s">
        <v>30</v>
      </c>
      <c r="D38" s="15" t="str">
        <f>IF(COC!I51="","",COC!I51)</f>
        <v/>
      </c>
      <c r="E38" s="12" t="str">
        <f>IF(COC!C51="","",TEXT(COC!C51,"mmmm dd yyyy ")&amp;TEXT(COC!D51,"hh:mm am/pm"))</f>
        <v/>
      </c>
      <c r="F38" s="7"/>
      <c r="G38" s="7" t="str">
        <f>IF(COC!E51="","",COC!E51)</f>
        <v/>
      </c>
      <c r="H38" s="7" t="str">
        <f>IF(COC!H51="","",COC!H51)</f>
        <v/>
      </c>
      <c r="I38" s="7"/>
      <c r="J38" s="7" t="str">
        <f t="shared" si="0"/>
        <v/>
      </c>
    </row>
    <row r="39" spans="1:10" x14ac:dyDescent="0.2">
      <c r="A39" s="13">
        <v>38</v>
      </c>
      <c r="B39" s="20" t="str">
        <f>IF(COC!B52="LEGION1",
INDEX(COCDV[LEGION1 RL'#],MATCH(COC!$I$6,COCDV[SAP Name])),
IF(COC!B52="LEGION",
INDEX(COCDV[LEGION RL'#],MATCH(COC!$I$6,COCDV[SAP Name])),"")
)</f>
        <v/>
      </c>
      <c r="C39" s="17" t="s">
        <v>30</v>
      </c>
      <c r="D39" s="15" t="str">
        <f>IF(COC!I52="","",COC!I52)</f>
        <v/>
      </c>
      <c r="E39" s="12" t="str">
        <f>IF(COC!C52="","",TEXT(COC!C52,"mmmm dd yyyy ")&amp;TEXT(COC!D52,"hh:mm am/pm"))</f>
        <v/>
      </c>
      <c r="F39" s="7"/>
      <c r="G39" s="7" t="str">
        <f>IF(COC!E52="","",COC!E52)</f>
        <v/>
      </c>
      <c r="H39" s="7" t="str">
        <f>IF(COC!H52="","",COC!H52)</f>
        <v/>
      </c>
      <c r="I39" s="7"/>
      <c r="J39" s="7" t="str">
        <f t="shared" si="0"/>
        <v/>
      </c>
    </row>
    <row r="40" spans="1:10" x14ac:dyDescent="0.2">
      <c r="A40" s="13">
        <v>39</v>
      </c>
      <c r="B40" s="20" t="str">
        <f>IF(COC!B53="LEGION1",
INDEX(COCDV[LEGION1 RL'#],MATCH(COC!$I$6,COCDV[SAP Name])),
IF(COC!B53="LEGION",
INDEX(COCDV[LEGION RL'#],MATCH(COC!$I$6,COCDV[SAP Name])),"")
)</f>
        <v/>
      </c>
      <c r="C40" s="17" t="s">
        <v>30</v>
      </c>
      <c r="D40" s="15" t="str">
        <f>IF(COC!I53="","",COC!I53)</f>
        <v/>
      </c>
      <c r="E40" s="12" t="str">
        <f>IF(COC!C53="","",TEXT(COC!C53,"mmmm dd yyyy ")&amp;TEXT(COC!D53,"hh:mm am/pm"))</f>
        <v/>
      </c>
      <c r="F40" s="7"/>
      <c r="G40" s="7" t="str">
        <f>IF(COC!E53="","",COC!E53)</f>
        <v/>
      </c>
      <c r="H40" s="7" t="str">
        <f>IF(COC!H53="","",COC!H53)</f>
        <v/>
      </c>
      <c r="I40" s="7"/>
      <c r="J40" s="7" t="str">
        <f t="shared" si="0"/>
        <v/>
      </c>
    </row>
    <row r="41" spans="1:10" x14ac:dyDescent="0.2">
      <c r="A41" s="13">
        <v>40</v>
      </c>
      <c r="B41" s="20" t="str">
        <f>IF(COC!B54="LEGION1",
INDEX(COCDV[LEGION1 RL'#],MATCH(COC!$I$6,COCDV[SAP Name])),
IF(COC!B54="LEGION",
INDEX(COCDV[LEGION RL'#],MATCH(COC!$I$6,COCDV[SAP Name])),"")
)</f>
        <v/>
      </c>
      <c r="C41" s="17" t="s">
        <v>30</v>
      </c>
      <c r="D41" s="15" t="str">
        <f>IF(COC!I54="","",COC!I54)</f>
        <v/>
      </c>
      <c r="E41" s="12" t="str">
        <f>IF(COC!C54="","",TEXT(COC!C54,"mmmm dd yyyy ")&amp;TEXT(COC!D54,"hh:mm am/pm"))</f>
        <v/>
      </c>
      <c r="F41" s="7"/>
      <c r="G41" s="7" t="str">
        <f>IF(COC!E54="","",COC!E54)</f>
        <v/>
      </c>
      <c r="H41" s="7" t="str">
        <f>IF(COC!H54="","",COC!H54)</f>
        <v/>
      </c>
      <c r="I41" s="7"/>
      <c r="J41" s="7" t="str">
        <f t="shared" si="0"/>
        <v/>
      </c>
    </row>
    <row r="42" spans="1:10" x14ac:dyDescent="0.2">
      <c r="A42" s="13">
        <v>41</v>
      </c>
      <c r="B42" s="20" t="str">
        <f>IF(COC!B55="LEGION1",
INDEX(COCDV[LEGION1 RL'#],MATCH(COC!$I$6,COCDV[SAP Name])),
IF(COC!B55="LEGION",
INDEX(COCDV[LEGION RL'#],MATCH(COC!$I$6,COCDV[SAP Name])),"")
)</f>
        <v/>
      </c>
      <c r="C42" s="17" t="s">
        <v>30</v>
      </c>
      <c r="D42" s="15" t="str">
        <f>IF(COC!I55="","",COC!I55)</f>
        <v/>
      </c>
      <c r="E42" s="12" t="str">
        <f>IF(COC!C55="","",TEXT(COC!C55,"mmmm dd yyyy ")&amp;TEXT(COC!D55,"hh:mm am/pm"))</f>
        <v/>
      </c>
      <c r="F42" s="7"/>
      <c r="G42" s="7" t="str">
        <f>IF(COC!E55="","",COC!E55)</f>
        <v/>
      </c>
      <c r="H42" s="7" t="str">
        <f>IF(COC!H55="","",COC!H55)</f>
        <v/>
      </c>
      <c r="I42" s="7"/>
      <c r="J42" s="7" t="str">
        <f t="shared" si="0"/>
        <v/>
      </c>
    </row>
    <row r="43" spans="1:10" x14ac:dyDescent="0.2">
      <c r="A43" s="13">
        <v>42</v>
      </c>
      <c r="B43" s="20" t="str">
        <f>IF(COC!B56="LEGION1",
INDEX(COCDV[LEGION1 RL'#],MATCH(COC!$I$6,COCDV[SAP Name])),
IF(COC!B56="LEGION",
INDEX(COCDV[LEGION RL'#],MATCH(COC!$I$6,COCDV[SAP Name])),"")
)</f>
        <v/>
      </c>
      <c r="C43" s="17" t="s">
        <v>30</v>
      </c>
      <c r="D43" s="15" t="str">
        <f>IF(COC!I56="","",COC!I56)</f>
        <v/>
      </c>
      <c r="E43" s="12" t="str">
        <f>IF(COC!C56="","",TEXT(COC!C56,"mmmm dd yyyy ")&amp;TEXT(COC!D56,"hh:mm am/pm"))</f>
        <v/>
      </c>
      <c r="F43" s="7"/>
      <c r="G43" s="7" t="str">
        <f>IF(COC!E56="","",COC!E56)</f>
        <v/>
      </c>
      <c r="H43" s="7" t="str">
        <f>IF(COC!H56="","",COC!H56)</f>
        <v/>
      </c>
      <c r="I43" s="7"/>
      <c r="J43" s="7" t="str">
        <f t="shared" si="0"/>
        <v/>
      </c>
    </row>
    <row r="44" spans="1:10" x14ac:dyDescent="0.2">
      <c r="A44" s="13">
        <v>43</v>
      </c>
      <c r="B44" s="20" t="str">
        <f>IF(COC!B57="LEGION1",
INDEX(COCDV[LEGION1 RL'#],MATCH(COC!$I$6,COCDV[SAP Name])),
IF(COC!B57="LEGION",
INDEX(COCDV[LEGION RL'#],MATCH(COC!$I$6,COCDV[SAP Name])),"")
)</f>
        <v/>
      </c>
      <c r="C44" s="17" t="s">
        <v>30</v>
      </c>
      <c r="D44" s="15" t="str">
        <f>IF(COC!I57="","",COC!I57)</f>
        <v/>
      </c>
      <c r="E44" s="12" t="str">
        <f>IF(COC!C57="","",TEXT(COC!C57,"mmmm dd yyyy ")&amp;TEXT(COC!D57,"hh:mm am/pm"))</f>
        <v/>
      </c>
      <c r="F44" s="7"/>
      <c r="G44" s="7" t="str">
        <f>IF(COC!E57="","",COC!E57)</f>
        <v/>
      </c>
      <c r="H44" s="7" t="str">
        <f>IF(COC!H57="","",COC!H57)</f>
        <v/>
      </c>
      <c r="I44" s="7"/>
      <c r="J44" s="7" t="str">
        <f t="shared" si="0"/>
        <v/>
      </c>
    </row>
    <row r="45" spans="1:10" x14ac:dyDescent="0.2">
      <c r="A45" s="13">
        <v>44</v>
      </c>
      <c r="B45" s="20" t="str">
        <f>IF(COC!B58="LEGION1",
INDEX(COCDV[LEGION1 RL'#],MATCH(COC!$I$6,COCDV[SAP Name])),
IF(COC!B58="LEGION",
INDEX(COCDV[LEGION RL'#],MATCH(COC!$I$6,COCDV[SAP Name])),"")
)</f>
        <v/>
      </c>
      <c r="C45" s="17" t="s">
        <v>30</v>
      </c>
      <c r="D45" s="15" t="str">
        <f>IF(COC!I58="","",COC!I58)</f>
        <v/>
      </c>
      <c r="E45" s="12" t="str">
        <f>IF(COC!C58="","",TEXT(COC!C58,"mmmm dd yyyy ")&amp;TEXT(COC!D58,"hh:mm am/pm"))</f>
        <v/>
      </c>
      <c r="F45" s="7"/>
      <c r="G45" s="7" t="str">
        <f>IF(COC!E58="","",COC!E58)</f>
        <v/>
      </c>
      <c r="H45" s="7" t="str">
        <f>IF(COC!H58="","",COC!H58)</f>
        <v/>
      </c>
      <c r="I45" s="7"/>
      <c r="J45" s="7" t="str">
        <f t="shared" si="0"/>
        <v/>
      </c>
    </row>
    <row r="46" spans="1:10" x14ac:dyDescent="0.2">
      <c r="A46" s="13">
        <v>45</v>
      </c>
      <c r="B46" s="20" t="str">
        <f>IF(COC!B59="LEGION1",
INDEX(COCDV[LEGION1 RL'#],MATCH(COC!$I$6,COCDV[SAP Name])),
IF(COC!B59="LEGION",
INDEX(COCDV[LEGION RL'#],MATCH(COC!$I$6,COCDV[SAP Name])),"")
)</f>
        <v/>
      </c>
      <c r="C46" s="17" t="s">
        <v>30</v>
      </c>
      <c r="D46" s="15" t="str">
        <f>IF(COC!I59="","",COC!I59)</f>
        <v/>
      </c>
      <c r="E46" s="12" t="str">
        <f>IF(COC!C59="","",TEXT(COC!C59,"mmmm dd yyyy ")&amp;TEXT(COC!D59,"hh:mm am/pm"))</f>
        <v/>
      </c>
      <c r="F46" s="7"/>
      <c r="G46" s="7" t="str">
        <f>IF(COC!E59="","",COC!E59)</f>
        <v/>
      </c>
      <c r="H46" s="7" t="str">
        <f>IF(COC!H59="","",COC!H59)</f>
        <v/>
      </c>
      <c r="I46" s="7"/>
      <c r="J46" s="7" t="str">
        <f t="shared" si="0"/>
        <v/>
      </c>
    </row>
    <row r="47" spans="1:10" x14ac:dyDescent="0.2">
      <c r="A47" s="13">
        <v>46</v>
      </c>
      <c r="B47" s="20" t="str">
        <f>IF(COC!B60="LEGION1",
INDEX(COCDV[LEGION1 RL'#],MATCH(COC!$I$6,COCDV[SAP Name])),
IF(COC!B60="LEGION",
INDEX(COCDV[LEGION RL'#],MATCH(COC!$I$6,COCDV[SAP Name])),"")
)</f>
        <v/>
      </c>
      <c r="C47" s="17" t="s">
        <v>30</v>
      </c>
      <c r="D47" s="15" t="str">
        <f>IF(COC!I60="","",COC!I60)</f>
        <v/>
      </c>
      <c r="E47" s="12" t="str">
        <f>IF(COC!C60="","",TEXT(COC!C60,"mmmm dd yyyy ")&amp;TEXT(COC!D60,"hh:mm am/pm"))</f>
        <v/>
      </c>
      <c r="F47" s="7"/>
      <c r="G47" s="7" t="str">
        <f>IF(COC!E60="","",COC!E60)</f>
        <v/>
      </c>
      <c r="H47" s="7" t="str">
        <f>IF(COC!H60="","",COC!H60)</f>
        <v/>
      </c>
      <c r="I47" s="7"/>
      <c r="J47" s="7" t="str">
        <f t="shared" si="0"/>
        <v/>
      </c>
    </row>
    <row r="48" spans="1:10" x14ac:dyDescent="0.2">
      <c r="A48" s="13">
        <v>47</v>
      </c>
      <c r="B48" s="20" t="str">
        <f>IF(COC!B61="LEGION1",
INDEX(COCDV[LEGION1 RL'#],MATCH(COC!$I$6,COCDV[SAP Name])),
IF(COC!B61="LEGION",
INDEX(COCDV[LEGION RL'#],MATCH(COC!$I$6,COCDV[SAP Name])),"")
)</f>
        <v/>
      </c>
      <c r="C48" s="17" t="s">
        <v>30</v>
      </c>
      <c r="D48" s="15" t="str">
        <f>IF(COC!I61="","",COC!I61)</f>
        <v/>
      </c>
      <c r="E48" s="12" t="str">
        <f>IF(COC!C61="","",TEXT(COC!C61,"mmmm dd yyyy ")&amp;TEXT(COC!D61,"hh:mm am/pm"))</f>
        <v/>
      </c>
      <c r="F48" s="7"/>
      <c r="G48" s="7" t="str">
        <f>IF(COC!E61="","",COC!E61)</f>
        <v/>
      </c>
      <c r="H48" s="7" t="str">
        <f>IF(COC!H61="","",COC!H61)</f>
        <v/>
      </c>
      <c r="I48" s="7"/>
      <c r="J48" s="7" t="str">
        <f t="shared" si="0"/>
        <v/>
      </c>
    </row>
    <row r="49" spans="1:10" x14ac:dyDescent="0.2">
      <c r="A49" s="13">
        <v>48</v>
      </c>
      <c r="B49" s="20" t="str">
        <f>IF(COC!B62="LEGION1",
INDEX(COCDV[LEGION1 RL'#],MATCH(COC!$I$6,COCDV[SAP Name])),
IF(COC!B62="LEGION",
INDEX(COCDV[LEGION RL'#],MATCH(COC!$I$6,COCDV[SAP Name])),"")
)</f>
        <v/>
      </c>
      <c r="C49" s="17" t="s">
        <v>30</v>
      </c>
      <c r="D49" s="15" t="str">
        <f>IF(COC!I62="","",COC!I62)</f>
        <v/>
      </c>
      <c r="E49" s="12" t="str">
        <f>IF(COC!C62="","",TEXT(COC!C62,"mmmm dd yyyy ")&amp;TEXT(COC!D62,"hh:mm am/pm"))</f>
        <v/>
      </c>
      <c r="F49" s="7"/>
      <c r="G49" s="7" t="str">
        <f>IF(COC!E62="","",COC!E62)</f>
        <v/>
      </c>
      <c r="H49" s="7" t="str">
        <f>IF(COC!H62="","",COC!H62)</f>
        <v/>
      </c>
      <c r="I49" s="7"/>
      <c r="J49" s="7" t="str">
        <f t="shared" si="0"/>
        <v/>
      </c>
    </row>
    <row r="50" spans="1:10" x14ac:dyDescent="0.2">
      <c r="A50" s="13">
        <v>49</v>
      </c>
      <c r="B50" s="20" t="str">
        <f>IF(COC!B63="LEGION1",
INDEX(COCDV[LEGION1 RL'#],MATCH(COC!$I$6,COCDV[SAP Name])),
IF(COC!B63="LEGION",
INDEX(COCDV[LEGION RL'#],MATCH(COC!$I$6,COCDV[SAP Name])),"")
)</f>
        <v/>
      </c>
      <c r="C50" s="17" t="s">
        <v>30</v>
      </c>
      <c r="D50" s="15" t="str">
        <f>IF(COC!I63="","",COC!I63)</f>
        <v/>
      </c>
      <c r="E50" s="12" t="str">
        <f>IF(COC!C63="","",TEXT(COC!C63,"mmmm dd yyyy ")&amp;TEXT(COC!D63,"hh:mm am/pm"))</f>
        <v/>
      </c>
      <c r="F50" s="7"/>
      <c r="G50" s="7" t="str">
        <f>IF(COC!E63="","",COC!E63)</f>
        <v/>
      </c>
      <c r="H50" s="7" t="str">
        <f>IF(COC!H63="","",COC!H63)</f>
        <v/>
      </c>
      <c r="I50" s="7"/>
      <c r="J50" s="7" t="str">
        <f t="shared" si="0"/>
        <v/>
      </c>
    </row>
    <row r="51" spans="1:10" x14ac:dyDescent="0.2">
      <c r="A51" s="13">
        <v>50</v>
      </c>
      <c r="B51" s="20" t="str">
        <f>IF(COC!B64="LEGION1",
INDEX(COCDV[LEGION1 RL'#],MATCH(COC!$I$6,COCDV[SAP Name])),
IF(COC!B64="LEGION",
INDEX(COCDV[LEGION RL'#],MATCH(COC!$I$6,COCDV[SAP Name])),"")
)</f>
        <v/>
      </c>
      <c r="C51" s="17" t="s">
        <v>30</v>
      </c>
      <c r="D51" s="15" t="str">
        <f>IF(COC!I64="","",COC!I64)</f>
        <v/>
      </c>
      <c r="E51" s="12" t="str">
        <f>IF(COC!C64="","",TEXT(COC!C64,"mmmm dd yyyy ")&amp;TEXT(COC!D64,"hh:mm am/pm"))</f>
        <v/>
      </c>
      <c r="F51" s="7"/>
      <c r="G51" s="7" t="str">
        <f>IF(COC!E64="","",COC!E64)</f>
        <v/>
      </c>
      <c r="H51" s="7" t="str">
        <f>IF(COC!H64="","",COC!H64)</f>
        <v/>
      </c>
      <c r="I51" s="7"/>
      <c r="J51" s="7" t="str">
        <f t="shared" si="0"/>
        <v/>
      </c>
    </row>
    <row r="52" spans="1:10" x14ac:dyDescent="0.2">
      <c r="A52" s="13">
        <v>51</v>
      </c>
      <c r="B52" s="20" t="str">
        <f>IF(COC!B65="LEGION1",
INDEX(COCDV[LEGION1 RL'#],MATCH(COC!$I$6,COCDV[SAP Name])),
IF(COC!B65="LEGION",
INDEX(COCDV[LEGION RL'#],MATCH(COC!$I$6,COCDV[SAP Name])),"")
)</f>
        <v/>
      </c>
      <c r="C52" s="17" t="s">
        <v>30</v>
      </c>
      <c r="D52" s="15" t="str">
        <f>IF(COC!I65="","",COC!I65)</f>
        <v/>
      </c>
      <c r="E52" s="12" t="str">
        <f>IF(COC!C65="","",TEXT(COC!C65,"mmmm dd yyyy ")&amp;TEXT(COC!D65,"hh:mm am/pm"))</f>
        <v/>
      </c>
      <c r="F52" s="7"/>
      <c r="G52" s="7" t="str">
        <f>IF(COC!E65="","",COC!E65)</f>
        <v/>
      </c>
      <c r="H52" s="7" t="str">
        <f>IF(COC!H65="","",COC!H65)</f>
        <v/>
      </c>
      <c r="I52" s="7"/>
      <c r="J52" s="7" t="str">
        <f t="shared" si="0"/>
        <v/>
      </c>
    </row>
    <row r="53" spans="1:10" x14ac:dyDescent="0.2">
      <c r="A53" s="13">
        <v>52</v>
      </c>
      <c r="B53" s="20" t="str">
        <f>IF(COC!B66="LEGION1",
INDEX(COCDV[LEGION1 RL'#],MATCH(COC!$I$6,COCDV[SAP Name])),
IF(COC!B66="LEGION",
INDEX(COCDV[LEGION RL'#],MATCH(COC!$I$6,COCDV[SAP Name])),"")
)</f>
        <v/>
      </c>
      <c r="C53" s="17" t="s">
        <v>30</v>
      </c>
      <c r="D53" s="15" t="str">
        <f>IF(COC!I66="","",COC!I66)</f>
        <v/>
      </c>
      <c r="E53" s="12" t="str">
        <f>IF(COC!C66="","",TEXT(COC!C66,"mmmm dd yyyy ")&amp;TEXT(COC!D66,"hh:mm am/pm"))</f>
        <v/>
      </c>
      <c r="F53" s="7"/>
      <c r="G53" s="7" t="str">
        <f>IF(COC!E66="","",COC!E66)</f>
        <v/>
      </c>
      <c r="H53" s="7" t="str">
        <f>IF(COC!H66="","",COC!H66)</f>
        <v/>
      </c>
      <c r="I53" s="7"/>
      <c r="J53" s="7" t="str">
        <f t="shared" si="0"/>
        <v/>
      </c>
    </row>
    <row r="54" spans="1:10" x14ac:dyDescent="0.2">
      <c r="A54" s="13">
        <v>53</v>
      </c>
      <c r="B54" s="20" t="str">
        <f>IF(COC!B67="LEGION1",
INDEX(COCDV[LEGION1 RL'#],MATCH(COC!$I$6,COCDV[SAP Name])),
IF(COC!B67="LEGION",
INDEX(COCDV[LEGION RL'#],MATCH(COC!$I$6,COCDV[SAP Name])),"")
)</f>
        <v/>
      </c>
      <c r="C54" s="17" t="s">
        <v>30</v>
      </c>
      <c r="D54" s="15" t="str">
        <f>IF(COC!I67="","",COC!I67)</f>
        <v/>
      </c>
      <c r="E54" s="12" t="str">
        <f>IF(COC!C67="","",TEXT(COC!C67,"mmmm dd yyyy ")&amp;TEXT(COC!D67,"hh:mm am/pm"))</f>
        <v/>
      </c>
      <c r="F54" s="7"/>
      <c r="G54" s="7" t="str">
        <f>IF(COC!E67="","",COC!E67)</f>
        <v/>
      </c>
      <c r="H54" s="7" t="str">
        <f>IF(COC!H67="","",COC!H67)</f>
        <v/>
      </c>
      <c r="I54" s="7"/>
      <c r="J54" s="7" t="str">
        <f t="shared" si="0"/>
        <v/>
      </c>
    </row>
    <row r="55" spans="1:10" x14ac:dyDescent="0.2">
      <c r="A55" s="13">
        <v>54</v>
      </c>
      <c r="B55" s="20" t="str">
        <f>IF(COC!B68="LEGION1",
INDEX(COCDV[LEGION1 RL'#],MATCH(COC!$I$6,COCDV[SAP Name])),
IF(COC!B68="LEGION",
INDEX(COCDV[LEGION RL'#],MATCH(COC!$I$6,COCDV[SAP Name])),"")
)</f>
        <v/>
      </c>
      <c r="C55" s="17" t="s">
        <v>30</v>
      </c>
      <c r="D55" s="15" t="str">
        <f>IF(COC!I68="","",COC!I68)</f>
        <v/>
      </c>
      <c r="E55" s="12" t="str">
        <f>IF(COC!C68="","",TEXT(COC!C68,"mmmm dd yyyy ")&amp;TEXT(COC!D68,"hh:mm am/pm"))</f>
        <v/>
      </c>
      <c r="F55" s="7"/>
      <c r="G55" s="7" t="str">
        <f>IF(COC!E68="","",COC!E68)</f>
        <v/>
      </c>
      <c r="H55" s="7" t="str">
        <f>IF(COC!H68="","",COC!H68)</f>
        <v/>
      </c>
      <c r="I55" s="7"/>
      <c r="J55" s="7" t="str">
        <f t="shared" si="0"/>
        <v/>
      </c>
    </row>
    <row r="56" spans="1:10" x14ac:dyDescent="0.2">
      <c r="A56" s="13">
        <v>55</v>
      </c>
      <c r="B56" s="20" t="str">
        <f>IF(COC!B69="LEGION1",
INDEX(COCDV[LEGION1 RL'#],MATCH(COC!$I$6,COCDV[SAP Name])),
IF(COC!B69="LEGION",
INDEX(COCDV[LEGION RL'#],MATCH(COC!$I$6,COCDV[SAP Name])),"")
)</f>
        <v/>
      </c>
      <c r="C56" s="17" t="s">
        <v>30</v>
      </c>
      <c r="D56" s="15" t="str">
        <f>IF(COC!I69="","",COC!I69)</f>
        <v/>
      </c>
      <c r="E56" s="12" t="str">
        <f>IF(COC!C69="","",TEXT(COC!C69,"mmmm dd yyyy ")&amp;TEXT(COC!D69,"hh:mm am/pm"))</f>
        <v/>
      </c>
      <c r="F56" s="7"/>
      <c r="G56" s="7" t="str">
        <f>IF(COC!E69="","",COC!E69)</f>
        <v/>
      </c>
      <c r="H56" s="7" t="str">
        <f>IF(COC!H69="","",COC!H69)</f>
        <v/>
      </c>
      <c r="I56" s="7"/>
      <c r="J56" s="7" t="str">
        <f t="shared" si="0"/>
        <v/>
      </c>
    </row>
    <row r="57" spans="1:10" x14ac:dyDescent="0.2">
      <c r="A57" s="13">
        <v>56</v>
      </c>
      <c r="B57" s="20" t="str">
        <f>IF(COC!B70="LEGION1",
INDEX(COCDV[LEGION1 RL'#],MATCH(COC!$I$6,COCDV[SAP Name])),
IF(COC!B70="LEGION",
INDEX(COCDV[LEGION RL'#],MATCH(COC!$I$6,COCDV[SAP Name])),"")
)</f>
        <v/>
      </c>
      <c r="C57" s="17" t="s">
        <v>30</v>
      </c>
      <c r="D57" s="15" t="str">
        <f>IF(COC!I70="","",COC!I70)</f>
        <v/>
      </c>
      <c r="E57" s="12" t="str">
        <f>IF(COC!C70="","",TEXT(COC!C70,"mmmm dd yyyy ")&amp;TEXT(COC!D70,"hh:mm am/pm"))</f>
        <v/>
      </c>
      <c r="F57" s="7"/>
      <c r="G57" s="7" t="str">
        <f>IF(COC!E70="","",COC!E70)</f>
        <v/>
      </c>
      <c r="H57" s="7" t="str">
        <f>IF(COC!H70="","",COC!H70)</f>
        <v/>
      </c>
      <c r="I57" s="7"/>
      <c r="J57" s="7" t="str">
        <f t="shared" si="0"/>
        <v/>
      </c>
    </row>
    <row r="58" spans="1:10" x14ac:dyDescent="0.2">
      <c r="A58" s="13">
        <v>57</v>
      </c>
      <c r="B58" s="20" t="str">
        <f>IF(COC!B71="LEGION1",
INDEX(COCDV[LEGION1 RL'#],MATCH(COC!$I$6,COCDV[SAP Name])),
IF(COC!B71="LEGION",
INDEX(COCDV[LEGION RL'#],MATCH(COC!$I$6,COCDV[SAP Name])),"")
)</f>
        <v/>
      </c>
      <c r="C58" s="17" t="s">
        <v>30</v>
      </c>
      <c r="D58" s="15" t="str">
        <f>IF(COC!I71="","",COC!I71)</f>
        <v/>
      </c>
      <c r="E58" s="12" t="str">
        <f>IF(COC!C71="","",TEXT(COC!C71,"mmmm dd yyyy ")&amp;TEXT(COC!D71,"hh:mm am/pm"))</f>
        <v/>
      </c>
      <c r="F58" s="7"/>
      <c r="G58" s="7" t="str">
        <f>IF(COC!E71="","",COC!E71)</f>
        <v/>
      </c>
      <c r="H58" s="7" t="str">
        <f>IF(COC!H71="","",COC!H71)</f>
        <v/>
      </c>
      <c r="I58" s="7"/>
      <c r="J58" s="7" t="str">
        <f t="shared" si="0"/>
        <v/>
      </c>
    </row>
    <row r="59" spans="1:10" x14ac:dyDescent="0.2">
      <c r="A59" s="13">
        <v>58</v>
      </c>
      <c r="B59" s="20" t="str">
        <f>IF(COC!B72="LEGION1",
INDEX(COCDV[LEGION1 RL'#],MATCH(COC!$I$6,COCDV[SAP Name])),
IF(COC!B72="LEGION",
INDEX(COCDV[LEGION RL'#],MATCH(COC!$I$6,COCDV[SAP Name])),"")
)</f>
        <v/>
      </c>
      <c r="C59" s="17" t="s">
        <v>30</v>
      </c>
      <c r="D59" s="15" t="str">
        <f>IF(COC!I72="","",COC!I72)</f>
        <v/>
      </c>
      <c r="E59" s="12" t="str">
        <f>IF(COC!C72="","",TEXT(COC!C72,"mmmm dd yyyy ")&amp;TEXT(COC!D72,"hh:mm am/pm"))</f>
        <v/>
      </c>
      <c r="F59" s="7"/>
      <c r="G59" s="7" t="str">
        <f>IF(COC!E72="","",COC!E72)</f>
        <v/>
      </c>
      <c r="H59" s="7" t="str">
        <f>IF(COC!H72="","",COC!H72)</f>
        <v/>
      </c>
      <c r="I59" s="7"/>
      <c r="J59" s="7" t="str">
        <f t="shared" si="0"/>
        <v/>
      </c>
    </row>
    <row r="60" spans="1:10" x14ac:dyDescent="0.2">
      <c r="A60" s="13">
        <v>59</v>
      </c>
      <c r="B60" s="20" t="str">
        <f>IF(COC!B73="LEGION1",
INDEX(COCDV[LEGION1 RL'#],MATCH(COC!$I$6,COCDV[SAP Name])),
IF(COC!B73="LEGION",
INDEX(COCDV[LEGION RL'#],MATCH(COC!$I$6,COCDV[SAP Name])),"")
)</f>
        <v/>
      </c>
      <c r="C60" s="17" t="s">
        <v>30</v>
      </c>
      <c r="D60" s="15" t="str">
        <f>IF(COC!I73="","",COC!I73)</f>
        <v/>
      </c>
      <c r="E60" s="12" t="str">
        <f>IF(COC!C73="","",TEXT(COC!C73,"mmmm dd yyyy ")&amp;TEXT(COC!D73,"hh:mm am/pm"))</f>
        <v/>
      </c>
      <c r="F60" s="7"/>
      <c r="G60" s="7" t="str">
        <f>IF(COC!E73="","",COC!E73)</f>
        <v/>
      </c>
      <c r="H60" s="7" t="str">
        <f>IF(COC!H73="","",COC!H73)</f>
        <v/>
      </c>
      <c r="I60" s="7"/>
      <c r="J60" s="7" t="str">
        <f t="shared" si="0"/>
        <v/>
      </c>
    </row>
    <row r="61" spans="1:10" x14ac:dyDescent="0.2">
      <c r="A61" s="13">
        <v>60</v>
      </c>
      <c r="B61" s="20" t="str">
        <f>IF(COC!B74="LEGION1",
INDEX(COCDV[LEGION1 RL'#],MATCH(COC!$I$6,COCDV[SAP Name])),
IF(COC!B74="LEGION",
INDEX(COCDV[LEGION RL'#],MATCH(COC!$I$6,COCDV[SAP Name])),"")
)</f>
        <v/>
      </c>
      <c r="C61" s="17" t="s">
        <v>30</v>
      </c>
      <c r="D61" s="15" t="str">
        <f>IF(COC!I74="","",COC!I74)</f>
        <v/>
      </c>
      <c r="E61" s="12" t="str">
        <f>IF(COC!C74="","",TEXT(COC!C74,"mmmm dd yyyy ")&amp;TEXT(COC!D74,"hh:mm am/pm"))</f>
        <v/>
      </c>
      <c r="F61" s="7"/>
      <c r="G61" s="7" t="str">
        <f>IF(COC!E74="","",COC!E74)</f>
        <v/>
      </c>
      <c r="H61" s="7" t="str">
        <f>IF(COC!H74="","",COC!H74)</f>
        <v/>
      </c>
      <c r="I61" s="7"/>
      <c r="J61" s="7" t="str">
        <f t="shared" si="0"/>
        <v/>
      </c>
    </row>
    <row r="62" spans="1:10" x14ac:dyDescent="0.2">
      <c r="A62" s="13">
        <v>61</v>
      </c>
      <c r="B62" s="20" t="str">
        <f>IF(COC!B75="LEGION1",
INDEX(COCDV[LEGION1 RL'#],MATCH(COC!$I$6,COCDV[SAP Name])),
IF(COC!B75="LEGION",
INDEX(COCDV[LEGION RL'#],MATCH(COC!$I$6,COCDV[SAP Name])),"")
)</f>
        <v/>
      </c>
      <c r="C62" s="17" t="s">
        <v>30</v>
      </c>
      <c r="D62" s="15" t="str">
        <f>IF(COC!I75="","",COC!I75)</f>
        <v/>
      </c>
      <c r="E62" s="12" t="str">
        <f>IF(COC!C75="","",TEXT(COC!C75,"mmmm dd yyyy ")&amp;TEXT(COC!D75,"hh:mm am/pm"))</f>
        <v/>
      </c>
      <c r="F62" s="7"/>
      <c r="G62" s="7" t="str">
        <f>IF(COC!E75="","",COC!E75)</f>
        <v/>
      </c>
      <c r="H62" s="7" t="str">
        <f>IF(COC!H75="","",COC!H75)</f>
        <v/>
      </c>
      <c r="I62" s="7"/>
      <c r="J62" s="7" t="str">
        <f t="shared" si="0"/>
        <v/>
      </c>
    </row>
    <row r="63" spans="1:10" x14ac:dyDescent="0.2">
      <c r="A63" s="13">
        <v>62</v>
      </c>
      <c r="B63" s="20" t="str">
        <f>IF(COC!B76="LEGION1",
INDEX(COCDV[LEGION1 RL'#],MATCH(COC!$I$6,COCDV[SAP Name])),
IF(COC!B76="LEGION",
INDEX(COCDV[LEGION RL'#],MATCH(COC!$I$6,COCDV[SAP Name])),"")
)</f>
        <v/>
      </c>
      <c r="C63" s="17" t="s">
        <v>30</v>
      </c>
      <c r="D63" s="15" t="str">
        <f>IF(COC!I76="","",COC!I76)</f>
        <v/>
      </c>
      <c r="E63" s="12" t="str">
        <f>IF(COC!C76="","",TEXT(COC!C76,"mmmm dd yyyy ")&amp;TEXT(COC!D76,"hh:mm am/pm"))</f>
        <v/>
      </c>
      <c r="F63" s="7"/>
      <c r="G63" s="7" t="str">
        <f>IF(COC!E76="","",COC!E76)</f>
        <v/>
      </c>
      <c r="H63" s="7" t="str">
        <f>IF(COC!H76="","",COC!H76)</f>
        <v/>
      </c>
      <c r="I63" s="7"/>
      <c r="J63" s="7" t="str">
        <f t="shared" si="0"/>
        <v/>
      </c>
    </row>
    <row r="64" spans="1:10" x14ac:dyDescent="0.2">
      <c r="A64" s="13">
        <v>63</v>
      </c>
      <c r="B64" s="20" t="str">
        <f>IF(COC!B77="LEGION1",
INDEX(COCDV[LEGION1 RL'#],MATCH(COC!$I$6,COCDV[SAP Name])),
IF(COC!B77="LEGION",
INDEX(COCDV[LEGION RL'#],MATCH(COC!$I$6,COCDV[SAP Name])),"")
)</f>
        <v/>
      </c>
      <c r="C64" s="17" t="s">
        <v>30</v>
      </c>
      <c r="D64" s="15" t="str">
        <f>IF(COC!I77="","",COC!I77)</f>
        <v/>
      </c>
      <c r="E64" s="12" t="str">
        <f>IF(COC!C77="","",TEXT(COC!C77,"mmmm dd yyyy ")&amp;TEXT(COC!D77,"hh:mm am/pm"))</f>
        <v/>
      </c>
      <c r="F64" s="7"/>
      <c r="G64" s="7" t="str">
        <f>IF(COC!E77="","",COC!E77)</f>
        <v/>
      </c>
      <c r="H64" s="7" t="str">
        <f>IF(COC!H77="","",COC!H77)</f>
        <v/>
      </c>
      <c r="I64" s="7"/>
      <c r="J64" s="7" t="str">
        <f t="shared" si="0"/>
        <v/>
      </c>
    </row>
    <row r="65" spans="1:10" x14ac:dyDescent="0.2">
      <c r="A65" s="13">
        <v>64</v>
      </c>
      <c r="B65" s="20" t="str">
        <f>IF(COC!B78="LEGION1",
INDEX(COCDV[LEGION1 RL'#],MATCH(COC!$I$6,COCDV[SAP Name])),
IF(COC!B78="LEGION",
INDEX(COCDV[LEGION RL'#],MATCH(COC!$I$6,COCDV[SAP Name])),"")
)</f>
        <v/>
      </c>
      <c r="C65" s="17" t="s">
        <v>30</v>
      </c>
      <c r="D65" s="15" t="str">
        <f>IF(COC!I78="","",COC!I78)</f>
        <v/>
      </c>
      <c r="E65" s="12" t="str">
        <f>IF(COC!C78="","",TEXT(COC!C78,"mmmm dd yyyy ")&amp;TEXT(COC!D78,"hh:mm am/pm"))</f>
        <v/>
      </c>
      <c r="F65" s="7"/>
      <c r="G65" s="7" t="str">
        <f>IF(COC!E78="","",COC!E78)</f>
        <v/>
      </c>
      <c r="H65" s="7" t="str">
        <f>IF(COC!H78="","",COC!H78)</f>
        <v/>
      </c>
      <c r="I65" s="7"/>
      <c r="J65" s="7" t="str">
        <f t="shared" si="0"/>
        <v/>
      </c>
    </row>
    <row r="66" spans="1:10" x14ac:dyDescent="0.2">
      <c r="A66" s="13">
        <v>65</v>
      </c>
      <c r="B66" s="20" t="str">
        <f>IF(COC!B79="LEGION1",
INDEX(COCDV[LEGION1 RL'#],MATCH(COC!$I$6,COCDV[SAP Name])),
IF(COC!B79="LEGION",
INDEX(COCDV[LEGION RL'#],MATCH(COC!$I$6,COCDV[SAP Name])),"")
)</f>
        <v/>
      </c>
      <c r="C66" s="17" t="s">
        <v>30</v>
      </c>
      <c r="D66" s="15" t="str">
        <f>IF(COC!I79="","",COC!I79)</f>
        <v/>
      </c>
      <c r="E66" s="12" t="str">
        <f>IF(COC!C79="","",TEXT(COC!C79,"mmmm dd yyyy ")&amp;TEXT(COC!D79,"hh:mm am/pm"))</f>
        <v/>
      </c>
      <c r="F66" s="7"/>
      <c r="G66" s="7" t="str">
        <f>IF(COC!E79="","",COC!E79)</f>
        <v/>
      </c>
      <c r="H66" s="7" t="str">
        <f>IF(COC!H79="","",COC!H79)</f>
        <v/>
      </c>
      <c r="I66" s="7"/>
      <c r="J66" s="7" t="str">
        <f t="shared" si="0"/>
        <v/>
      </c>
    </row>
    <row r="67" spans="1:10" x14ac:dyDescent="0.2">
      <c r="A67" s="13">
        <v>66</v>
      </c>
      <c r="B67" s="20" t="str">
        <f>IF(COC!B80="LEGION1",
INDEX(COCDV[LEGION1 RL'#],MATCH(COC!$I$6,COCDV[SAP Name])),
IF(COC!B80="LEGION",
INDEX(COCDV[LEGION RL'#],MATCH(COC!$I$6,COCDV[SAP Name])),"")
)</f>
        <v/>
      </c>
      <c r="C67" s="17" t="s">
        <v>30</v>
      </c>
      <c r="D67" s="15" t="str">
        <f>IF(COC!I80="","",COC!I80)</f>
        <v/>
      </c>
      <c r="E67" s="12" t="str">
        <f>IF(COC!C80="","",TEXT(COC!C80,"mmmm dd yyyy ")&amp;TEXT(COC!D80,"hh:mm am/pm"))</f>
        <v/>
      </c>
      <c r="F67" s="7"/>
      <c r="G67" s="7" t="str">
        <f>IF(COC!E80="","",COC!E80)</f>
        <v/>
      </c>
      <c r="H67" s="7" t="str">
        <f>IF(COC!H80="","",COC!H80)</f>
        <v/>
      </c>
      <c r="I67" s="7"/>
      <c r="J67" s="7" t="str">
        <f t="shared" ref="J67:J118" si="1">IF(D67="","",G67&amp;", "&amp;H67&amp;", "&amp;D67)</f>
        <v/>
      </c>
    </row>
    <row r="68" spans="1:10" x14ac:dyDescent="0.2">
      <c r="A68" s="13">
        <v>67</v>
      </c>
      <c r="B68" s="20" t="str">
        <f>IF(COC!B81="LEGION1",
INDEX(COCDV[LEGION1 RL'#],MATCH(COC!$I$6,COCDV[SAP Name])),
IF(COC!B81="LEGION",
INDEX(COCDV[LEGION RL'#],MATCH(COC!$I$6,COCDV[SAP Name])),"")
)</f>
        <v/>
      </c>
      <c r="C68" s="17" t="s">
        <v>30</v>
      </c>
      <c r="D68" s="15" t="str">
        <f>IF(COC!I81="","",COC!I81)</f>
        <v/>
      </c>
      <c r="E68" s="12" t="str">
        <f>IF(COC!C81="","",TEXT(COC!C81,"mmmm dd yyyy ")&amp;TEXT(COC!D81,"hh:mm am/pm"))</f>
        <v/>
      </c>
      <c r="F68" s="7"/>
      <c r="G68" s="7" t="str">
        <f>IF(COC!E81="","",COC!E81)</f>
        <v/>
      </c>
      <c r="H68" s="7" t="str">
        <f>IF(COC!H81="","",COC!H81)</f>
        <v/>
      </c>
      <c r="I68" s="7"/>
      <c r="J68" s="7" t="str">
        <f t="shared" si="1"/>
        <v/>
      </c>
    </row>
    <row r="69" spans="1:10" x14ac:dyDescent="0.2">
      <c r="A69" s="13">
        <v>68</v>
      </c>
      <c r="B69" s="20" t="str">
        <f>IF(COC!B82="LEGION1",
INDEX(COCDV[LEGION1 RL'#],MATCH(COC!$I$6,COCDV[SAP Name])),
IF(COC!B82="LEGION",
INDEX(COCDV[LEGION RL'#],MATCH(COC!$I$6,COCDV[SAP Name])),"")
)</f>
        <v/>
      </c>
      <c r="C69" s="17" t="s">
        <v>30</v>
      </c>
      <c r="D69" s="15" t="str">
        <f>IF(COC!I82="","",COC!I82)</f>
        <v/>
      </c>
      <c r="E69" s="12" t="str">
        <f>IF(COC!C82="","",TEXT(COC!C82,"mmmm dd yyyy ")&amp;TEXT(COC!D82,"hh:mm am/pm"))</f>
        <v/>
      </c>
      <c r="F69" s="7"/>
      <c r="G69" s="7" t="str">
        <f>IF(COC!E82="","",COC!E82)</f>
        <v/>
      </c>
      <c r="H69" s="7" t="str">
        <f>IF(COC!H82="","",COC!H82)</f>
        <v/>
      </c>
      <c r="I69" s="7"/>
      <c r="J69" s="7" t="str">
        <f t="shared" si="1"/>
        <v/>
      </c>
    </row>
    <row r="70" spans="1:10" x14ac:dyDescent="0.2">
      <c r="A70" s="13">
        <v>69</v>
      </c>
      <c r="B70" s="20" t="str">
        <f>IF(COC!B83="LEGION1",
INDEX(COCDV[LEGION1 RL'#],MATCH(COC!$I$6,COCDV[SAP Name])),
IF(COC!B83="LEGION",
INDEX(COCDV[LEGION RL'#],MATCH(COC!$I$6,COCDV[SAP Name])),"")
)</f>
        <v/>
      </c>
      <c r="C70" s="17" t="s">
        <v>30</v>
      </c>
      <c r="D70" s="15" t="str">
        <f>IF(COC!I83="","",COC!I83)</f>
        <v/>
      </c>
      <c r="E70" s="12" t="str">
        <f>IF(COC!C83="","",TEXT(COC!C83,"mmmm dd yyyy ")&amp;TEXT(COC!D83,"hh:mm am/pm"))</f>
        <v/>
      </c>
      <c r="F70" s="7"/>
      <c r="G70" s="7" t="str">
        <f>IF(COC!E83="","",COC!E83)</f>
        <v/>
      </c>
      <c r="H70" s="7" t="str">
        <f>IF(COC!H83="","",COC!H83)</f>
        <v/>
      </c>
      <c r="I70" s="7"/>
      <c r="J70" s="7" t="str">
        <f t="shared" si="1"/>
        <v/>
      </c>
    </row>
    <row r="71" spans="1:10" x14ac:dyDescent="0.2">
      <c r="A71" s="13">
        <v>70</v>
      </c>
      <c r="B71" s="20" t="str">
        <f>IF(COC!B84="LEGION1",
INDEX(COCDV[LEGION1 RL'#],MATCH(COC!$I$6,COCDV[SAP Name])),
IF(COC!B84="LEGION",
INDEX(COCDV[LEGION RL'#],MATCH(COC!$I$6,COCDV[SAP Name])),"")
)</f>
        <v/>
      </c>
      <c r="C71" s="17" t="s">
        <v>30</v>
      </c>
      <c r="D71" s="15" t="str">
        <f>IF(COC!I84="","",COC!I84)</f>
        <v/>
      </c>
      <c r="E71" s="12" t="str">
        <f>IF(COC!C84="","",TEXT(COC!C84,"mmmm dd yyyy ")&amp;TEXT(COC!D84,"hh:mm am/pm"))</f>
        <v/>
      </c>
      <c r="F71" s="7"/>
      <c r="G71" s="7" t="str">
        <f>IF(COC!E84="","",COC!E84)</f>
        <v/>
      </c>
      <c r="H71" s="7" t="str">
        <f>IF(COC!H84="","",COC!H84)</f>
        <v/>
      </c>
      <c r="I71" s="7"/>
      <c r="J71" s="7" t="str">
        <f t="shared" si="1"/>
        <v/>
      </c>
    </row>
    <row r="72" spans="1:10" x14ac:dyDescent="0.2">
      <c r="A72" s="13">
        <v>71</v>
      </c>
      <c r="B72" s="20" t="str">
        <f>IF(COC!B85="LEGION1",
INDEX(COCDV[LEGION1 RL'#],MATCH(COC!$I$6,COCDV[SAP Name])),
IF(COC!B85="LEGION",
INDEX(COCDV[LEGION RL'#],MATCH(COC!$I$6,COCDV[SAP Name])),"")
)</f>
        <v/>
      </c>
      <c r="C72" s="17" t="s">
        <v>30</v>
      </c>
      <c r="D72" s="15" t="str">
        <f>IF(COC!I85="","",COC!I85)</f>
        <v/>
      </c>
      <c r="E72" s="12" t="str">
        <f>IF(COC!C85="","",TEXT(COC!C85,"mmmm dd yyyy ")&amp;TEXT(COC!D85,"hh:mm am/pm"))</f>
        <v/>
      </c>
      <c r="F72" s="7"/>
      <c r="G72" s="7" t="str">
        <f>IF(COC!E85="","",COC!E85)</f>
        <v/>
      </c>
      <c r="H72" s="7" t="str">
        <f>IF(COC!H85="","",COC!H85)</f>
        <v/>
      </c>
      <c r="I72" s="7"/>
      <c r="J72" s="7" t="str">
        <f t="shared" si="1"/>
        <v/>
      </c>
    </row>
    <row r="73" spans="1:10" x14ac:dyDescent="0.2">
      <c r="A73" s="13">
        <v>72</v>
      </c>
      <c r="B73" s="20" t="str">
        <f>IF(COC!B86="LEGION1",
INDEX(COCDV[LEGION1 RL'#],MATCH(COC!$I$6,COCDV[SAP Name])),
IF(COC!B86="LEGION",
INDEX(COCDV[LEGION RL'#],MATCH(COC!$I$6,COCDV[SAP Name])),"")
)</f>
        <v/>
      </c>
      <c r="C73" s="17" t="s">
        <v>30</v>
      </c>
      <c r="D73" s="15" t="str">
        <f>IF(COC!I86="","",COC!I86)</f>
        <v/>
      </c>
      <c r="E73" s="12" t="str">
        <f>IF(COC!C86="","",TEXT(COC!C86,"mmmm dd yyyy ")&amp;TEXT(COC!D86,"hh:mm am/pm"))</f>
        <v/>
      </c>
      <c r="F73" s="7"/>
      <c r="G73" s="7" t="str">
        <f>IF(COC!E86="","",COC!E86)</f>
        <v/>
      </c>
      <c r="H73" s="7" t="str">
        <f>IF(COC!H86="","",COC!H86)</f>
        <v/>
      </c>
      <c r="I73" s="7"/>
      <c r="J73" s="7" t="str">
        <f t="shared" si="1"/>
        <v/>
      </c>
    </row>
    <row r="74" spans="1:10" x14ac:dyDescent="0.2">
      <c r="A74" s="13">
        <v>73</v>
      </c>
      <c r="B74" s="20" t="str">
        <f>IF(COC!B87="LEGION1",
INDEX(COCDV[LEGION1 RL'#],MATCH(COC!$I$6,COCDV[SAP Name])),
IF(COC!B87="LEGION",
INDEX(COCDV[LEGION RL'#],MATCH(COC!$I$6,COCDV[SAP Name])),"")
)</f>
        <v/>
      </c>
      <c r="C74" s="17" t="s">
        <v>30</v>
      </c>
      <c r="D74" s="15" t="str">
        <f>IF(COC!I87="","",COC!I87)</f>
        <v/>
      </c>
      <c r="E74" s="12" t="str">
        <f>IF(COC!C87="","",TEXT(COC!C87,"mmmm dd yyyy ")&amp;TEXT(COC!D87,"hh:mm am/pm"))</f>
        <v/>
      </c>
      <c r="F74" s="7"/>
      <c r="G74" s="7" t="str">
        <f>IF(COC!E87="","",COC!E87)</f>
        <v/>
      </c>
      <c r="H74" s="7" t="str">
        <f>IF(COC!H87="","",COC!H87)</f>
        <v/>
      </c>
      <c r="I74" s="7"/>
      <c r="J74" s="7" t="str">
        <f t="shared" si="1"/>
        <v/>
      </c>
    </row>
    <row r="75" spans="1:10" x14ac:dyDescent="0.2">
      <c r="A75" s="13">
        <v>74</v>
      </c>
      <c r="B75" s="20" t="str">
        <f>IF(COC!B88="LEGION1",
INDEX(COCDV[LEGION1 RL'#],MATCH(COC!$I$6,COCDV[SAP Name])),
IF(COC!B88="LEGION",
INDEX(COCDV[LEGION RL'#],MATCH(COC!$I$6,COCDV[SAP Name])),"")
)</f>
        <v/>
      </c>
      <c r="C75" s="17" t="s">
        <v>30</v>
      </c>
      <c r="D75" s="15" t="str">
        <f>IF(COC!I88="","",COC!I88)</f>
        <v/>
      </c>
      <c r="E75" s="12" t="str">
        <f>IF(COC!C88="","",TEXT(COC!C88,"mmmm dd yyyy ")&amp;TEXT(COC!D88,"hh:mm am/pm"))</f>
        <v/>
      </c>
      <c r="F75" s="7"/>
      <c r="G75" s="7" t="str">
        <f>IF(COC!E88="","",COC!E88)</f>
        <v/>
      </c>
      <c r="H75" s="7" t="str">
        <f>IF(COC!H88="","",COC!H88)</f>
        <v/>
      </c>
      <c r="I75" s="7"/>
      <c r="J75" s="7" t="str">
        <f t="shared" si="1"/>
        <v/>
      </c>
    </row>
    <row r="76" spans="1:10" x14ac:dyDescent="0.2">
      <c r="A76" s="13">
        <v>75</v>
      </c>
      <c r="B76" s="20" t="str">
        <f>IF(COC!B89="LEGION1",
INDEX(COCDV[LEGION1 RL'#],MATCH(COC!$I$6,COCDV[SAP Name])),
IF(COC!B89="LEGION",
INDEX(COCDV[LEGION RL'#],MATCH(COC!$I$6,COCDV[SAP Name])),"")
)</f>
        <v/>
      </c>
      <c r="C76" s="17" t="s">
        <v>30</v>
      </c>
      <c r="D76" s="15" t="str">
        <f>IF(COC!I89="","",COC!I89)</f>
        <v/>
      </c>
      <c r="E76" s="12" t="str">
        <f>IF(COC!C89="","",TEXT(COC!C89,"mmmm dd yyyy ")&amp;TEXT(COC!D89,"hh:mm am/pm"))</f>
        <v/>
      </c>
      <c r="F76" s="7"/>
      <c r="G76" s="7" t="str">
        <f>IF(COC!E89="","",COC!E89)</f>
        <v/>
      </c>
      <c r="H76" s="7" t="str">
        <f>IF(COC!H89="","",COC!H89)</f>
        <v/>
      </c>
      <c r="I76" s="7"/>
      <c r="J76" s="7" t="str">
        <f t="shared" si="1"/>
        <v/>
      </c>
    </row>
    <row r="77" spans="1:10" x14ac:dyDescent="0.2">
      <c r="A77" s="13">
        <v>76</v>
      </c>
      <c r="B77" s="20" t="str">
        <f>IF(COC!B90="LEGION1",
INDEX(COCDV[LEGION1 RL'#],MATCH(COC!$I$6,COCDV[SAP Name])),
IF(COC!B90="LEGION",
INDEX(COCDV[LEGION RL'#],MATCH(COC!$I$6,COCDV[SAP Name])),"")
)</f>
        <v/>
      </c>
      <c r="C77" s="17" t="s">
        <v>30</v>
      </c>
      <c r="D77" s="15" t="str">
        <f>IF(COC!I90="","",COC!I90)</f>
        <v/>
      </c>
      <c r="E77" s="12" t="str">
        <f>IF(COC!C90="","",TEXT(COC!C90,"mmmm dd yyyy ")&amp;TEXT(COC!D90,"hh:mm am/pm"))</f>
        <v/>
      </c>
      <c r="F77" s="7"/>
      <c r="G77" s="7" t="str">
        <f>IF(COC!E90="","",COC!E90)</f>
        <v/>
      </c>
      <c r="H77" s="7" t="str">
        <f>IF(COC!H90="","",COC!H90)</f>
        <v/>
      </c>
      <c r="I77" s="7"/>
      <c r="J77" s="7" t="str">
        <f t="shared" si="1"/>
        <v/>
      </c>
    </row>
    <row r="78" spans="1:10" x14ac:dyDescent="0.2">
      <c r="A78" s="13">
        <v>77</v>
      </c>
      <c r="B78" s="20" t="str">
        <f>IF(COC!B91="LEGION1",
INDEX(COCDV[LEGION1 RL'#],MATCH(COC!$I$6,COCDV[SAP Name])),
IF(COC!B91="LEGION",
INDEX(COCDV[LEGION RL'#],MATCH(COC!$I$6,COCDV[SAP Name])),"")
)</f>
        <v/>
      </c>
      <c r="C78" s="17" t="s">
        <v>30</v>
      </c>
      <c r="D78" s="15" t="str">
        <f>IF(COC!I91="","",COC!I91)</f>
        <v/>
      </c>
      <c r="E78" s="12" t="str">
        <f>IF(COC!C91="","",TEXT(COC!C91,"mmmm dd yyyy ")&amp;TEXT(COC!D91,"hh:mm am/pm"))</f>
        <v/>
      </c>
      <c r="F78" s="7"/>
      <c r="G78" s="7" t="str">
        <f>IF(COC!E91="","",COC!E91)</f>
        <v/>
      </c>
      <c r="H78" s="7" t="str">
        <f>IF(COC!H91="","",COC!H91)</f>
        <v/>
      </c>
      <c r="I78" s="7"/>
      <c r="J78" s="7" t="str">
        <f t="shared" si="1"/>
        <v/>
      </c>
    </row>
    <row r="79" spans="1:10" x14ac:dyDescent="0.2">
      <c r="A79" s="13">
        <v>78</v>
      </c>
      <c r="B79" s="20" t="str">
        <f>IF(COC!B92="LEGION1",
INDEX(COCDV[LEGION1 RL'#],MATCH(COC!$I$6,COCDV[SAP Name])),
IF(COC!B92="LEGION",
INDEX(COCDV[LEGION RL'#],MATCH(COC!$I$6,COCDV[SAP Name])),"")
)</f>
        <v/>
      </c>
      <c r="C79" s="17" t="s">
        <v>30</v>
      </c>
      <c r="D79" s="15" t="str">
        <f>IF(COC!I92="","",COC!I92)</f>
        <v/>
      </c>
      <c r="E79" s="12" t="str">
        <f>IF(COC!C92="","",TEXT(COC!C92,"mmmm dd yyyy ")&amp;TEXT(COC!D92,"hh:mm am/pm"))</f>
        <v/>
      </c>
      <c r="F79" s="7"/>
      <c r="G79" s="7" t="str">
        <f>IF(COC!E92="","",COC!E92)</f>
        <v/>
      </c>
      <c r="H79" s="7" t="str">
        <f>IF(COC!H92="","",COC!H92)</f>
        <v/>
      </c>
      <c r="I79" s="7"/>
      <c r="J79" s="7" t="str">
        <f t="shared" si="1"/>
        <v/>
      </c>
    </row>
    <row r="80" spans="1:10" x14ac:dyDescent="0.2">
      <c r="A80" s="13">
        <v>79</v>
      </c>
      <c r="B80" s="20" t="str">
        <f>IF(COC!B93="LEGION1",
INDEX(COCDV[LEGION1 RL'#],MATCH(COC!$I$6,COCDV[SAP Name])),
IF(COC!B93="LEGION",
INDEX(COCDV[LEGION RL'#],MATCH(COC!$I$6,COCDV[SAP Name])),"")
)</f>
        <v/>
      </c>
      <c r="C80" s="17" t="s">
        <v>30</v>
      </c>
      <c r="D80" s="15" t="str">
        <f>IF(COC!I93="","",COC!I93)</f>
        <v/>
      </c>
      <c r="E80" s="12" t="str">
        <f>IF(COC!C93="","",TEXT(COC!C93,"mmmm dd yyyy ")&amp;TEXT(COC!D93,"hh:mm am/pm"))</f>
        <v/>
      </c>
      <c r="F80" s="7"/>
      <c r="G80" s="7" t="str">
        <f>IF(COC!E93="","",COC!E93)</f>
        <v/>
      </c>
      <c r="H80" s="7" t="str">
        <f>IF(COC!H93="","",COC!H93)</f>
        <v/>
      </c>
      <c r="I80" s="7"/>
      <c r="J80" s="7" t="str">
        <f t="shared" si="1"/>
        <v/>
      </c>
    </row>
    <row r="81" spans="1:10" x14ac:dyDescent="0.2">
      <c r="A81" s="13">
        <v>80</v>
      </c>
      <c r="B81" s="20" t="str">
        <f>IF(COC!B94="LEGION1",
INDEX(COCDV[LEGION1 RL'#],MATCH(COC!$I$6,COCDV[SAP Name])),
IF(COC!B94="LEGION",
INDEX(COCDV[LEGION RL'#],MATCH(COC!$I$6,COCDV[SAP Name])),"")
)</f>
        <v/>
      </c>
      <c r="C81" s="17" t="s">
        <v>30</v>
      </c>
      <c r="D81" s="15" t="str">
        <f>IF(COC!I94="","",COC!I94)</f>
        <v/>
      </c>
      <c r="E81" s="12" t="str">
        <f>IF(COC!C94="","",TEXT(COC!C94,"mmmm dd yyyy ")&amp;TEXT(COC!D94,"hh:mm am/pm"))</f>
        <v/>
      </c>
      <c r="F81" s="7"/>
      <c r="G81" s="7" t="str">
        <f>IF(COC!E94="","",COC!E94)</f>
        <v/>
      </c>
      <c r="H81" s="7" t="str">
        <f>IF(COC!H94="","",COC!H94)</f>
        <v/>
      </c>
      <c r="I81" s="7"/>
      <c r="J81" s="7" t="str">
        <f t="shared" si="1"/>
        <v/>
      </c>
    </row>
    <row r="82" spans="1:10" x14ac:dyDescent="0.2">
      <c r="A82" s="13">
        <v>81</v>
      </c>
      <c r="B82" s="20" t="str">
        <f>IF(COC!B95="LEGION1",
INDEX(COCDV[LEGION1 RL'#],MATCH(COC!$I$6,COCDV[SAP Name])),
IF(COC!B95="LEGION",
INDEX(COCDV[LEGION RL'#],MATCH(COC!$I$6,COCDV[SAP Name])),"")
)</f>
        <v/>
      </c>
      <c r="C82" s="17" t="s">
        <v>30</v>
      </c>
      <c r="D82" s="15" t="str">
        <f>IF(COC!I95="","",COC!I95)</f>
        <v/>
      </c>
      <c r="E82" s="12" t="str">
        <f>IF(COC!C95="","",TEXT(COC!C95,"mmmm dd yyyy ")&amp;TEXT(COC!D95,"hh:mm am/pm"))</f>
        <v/>
      </c>
      <c r="F82" s="7"/>
      <c r="G82" s="7" t="str">
        <f>IF(COC!E95="","",COC!E95)</f>
        <v/>
      </c>
      <c r="H82" s="7" t="str">
        <f>IF(COC!H95="","",COC!H95)</f>
        <v/>
      </c>
      <c r="I82" s="7"/>
      <c r="J82" s="7" t="str">
        <f t="shared" si="1"/>
        <v/>
      </c>
    </row>
    <row r="83" spans="1:10" x14ac:dyDescent="0.2">
      <c r="A83" s="13">
        <v>82</v>
      </c>
      <c r="B83" s="20" t="str">
        <f>IF(COC!B96="LEGION1",
INDEX(COCDV[LEGION1 RL'#],MATCH(COC!$I$6,COCDV[SAP Name])),
IF(COC!B96="LEGION",
INDEX(COCDV[LEGION RL'#],MATCH(COC!$I$6,COCDV[SAP Name])),"")
)</f>
        <v/>
      </c>
      <c r="C83" s="17" t="s">
        <v>30</v>
      </c>
      <c r="D83" s="15" t="str">
        <f>IF(COC!I96="","",COC!I96)</f>
        <v/>
      </c>
      <c r="E83" s="12" t="str">
        <f>IF(COC!C96="","",TEXT(COC!C96,"mmmm dd yyyy ")&amp;TEXT(COC!D96,"hh:mm am/pm"))</f>
        <v/>
      </c>
      <c r="F83" s="7"/>
      <c r="G83" s="7" t="str">
        <f>IF(COC!E96="","",COC!E96)</f>
        <v/>
      </c>
      <c r="H83" s="7" t="str">
        <f>IF(COC!H96="","",COC!H96)</f>
        <v/>
      </c>
      <c r="I83" s="7"/>
      <c r="J83" s="7" t="str">
        <f t="shared" si="1"/>
        <v/>
      </c>
    </row>
    <row r="84" spans="1:10" x14ac:dyDescent="0.2">
      <c r="A84" s="13">
        <v>83</v>
      </c>
      <c r="B84" s="20" t="str">
        <f>IF(COC!B97="LEGION1",
INDEX(COCDV[LEGION1 RL'#],MATCH(COC!$I$6,COCDV[SAP Name])),
IF(COC!B97="LEGION",
INDEX(COCDV[LEGION RL'#],MATCH(COC!$I$6,COCDV[SAP Name])),"")
)</f>
        <v/>
      </c>
      <c r="C84" s="17" t="s">
        <v>30</v>
      </c>
      <c r="D84" s="15" t="str">
        <f>IF(COC!I97="","",COC!I97)</f>
        <v/>
      </c>
      <c r="E84" s="12" t="str">
        <f>IF(COC!C97="","",TEXT(COC!C97,"mmmm dd yyyy ")&amp;TEXT(COC!D97,"hh:mm am/pm"))</f>
        <v/>
      </c>
      <c r="F84" s="7"/>
      <c r="G84" s="7" t="str">
        <f>IF(COC!E97="","",COC!E97)</f>
        <v/>
      </c>
      <c r="H84" s="7" t="str">
        <f>IF(COC!H97="","",COC!H97)</f>
        <v/>
      </c>
      <c r="I84" s="7"/>
      <c r="J84" s="7" t="str">
        <f t="shared" si="1"/>
        <v/>
      </c>
    </row>
    <row r="85" spans="1:10" x14ac:dyDescent="0.2">
      <c r="A85" s="13">
        <v>84</v>
      </c>
      <c r="B85" s="20" t="str">
        <f>IF(COC!B98="LEGION1",
INDEX(COCDV[LEGION1 RL'#],MATCH(COC!$I$6,COCDV[SAP Name])),
IF(COC!B98="LEGION",
INDEX(COCDV[LEGION RL'#],MATCH(COC!$I$6,COCDV[SAP Name])),"")
)</f>
        <v/>
      </c>
      <c r="C85" s="17" t="s">
        <v>30</v>
      </c>
      <c r="D85" s="15" t="str">
        <f>IF(COC!I98="","",COC!I98)</f>
        <v/>
      </c>
      <c r="E85" s="12" t="str">
        <f>IF(COC!C98="","",TEXT(COC!C98,"mmmm dd yyyy ")&amp;TEXT(COC!D98,"hh:mm am/pm"))</f>
        <v/>
      </c>
      <c r="F85" s="7"/>
      <c r="G85" s="7" t="str">
        <f>IF(COC!E98="","",COC!E98)</f>
        <v/>
      </c>
      <c r="H85" s="7" t="str">
        <f>IF(COC!H98="","",COC!H98)</f>
        <v/>
      </c>
      <c r="I85" s="7"/>
      <c r="J85" s="7" t="str">
        <f t="shared" si="1"/>
        <v/>
      </c>
    </row>
    <row r="86" spans="1:10" x14ac:dyDescent="0.2">
      <c r="A86" s="13">
        <v>85</v>
      </c>
      <c r="B86" s="20" t="str">
        <f>IF(COC!B99="LEGION1",
INDEX(COCDV[LEGION1 RL'#],MATCH(COC!$I$6,COCDV[SAP Name])),
IF(COC!B99="LEGION",
INDEX(COCDV[LEGION RL'#],MATCH(COC!$I$6,COCDV[SAP Name])),"")
)</f>
        <v/>
      </c>
      <c r="C86" s="17" t="s">
        <v>30</v>
      </c>
      <c r="D86" s="15" t="str">
        <f>IF(COC!I99="","",COC!I99)</f>
        <v/>
      </c>
      <c r="E86" s="12" t="str">
        <f>IF(COC!C99="","",TEXT(COC!C99,"mmmm dd yyyy ")&amp;TEXT(COC!D99,"hh:mm am/pm"))</f>
        <v/>
      </c>
      <c r="F86" s="7"/>
      <c r="G86" s="7" t="str">
        <f>IF(COC!E99="","",COC!E99)</f>
        <v/>
      </c>
      <c r="H86" s="7" t="str">
        <f>IF(COC!H99="","",COC!H99)</f>
        <v/>
      </c>
      <c r="I86" s="7"/>
      <c r="J86" s="7" t="str">
        <f t="shared" si="1"/>
        <v/>
      </c>
    </row>
    <row r="87" spans="1:10" x14ac:dyDescent="0.2">
      <c r="A87" s="13">
        <v>86</v>
      </c>
      <c r="B87" s="20" t="str">
        <f>IF(COC!B100="LEGION1",
INDEX(COCDV[LEGION1 RL'#],MATCH(COC!$I$6,COCDV[SAP Name])),
IF(COC!B100="LEGION",
INDEX(COCDV[LEGION RL'#],MATCH(COC!$I$6,COCDV[SAP Name])),"")
)</f>
        <v/>
      </c>
      <c r="C87" s="17" t="s">
        <v>30</v>
      </c>
      <c r="D87" s="15" t="str">
        <f>IF(COC!I100="","",COC!I100)</f>
        <v/>
      </c>
      <c r="E87" s="12" t="str">
        <f>IF(COC!C100="","",TEXT(COC!C100,"mmmm dd yyyy ")&amp;TEXT(COC!D100,"hh:mm am/pm"))</f>
        <v/>
      </c>
      <c r="F87" s="7"/>
      <c r="G87" s="7" t="str">
        <f>IF(COC!E100="","",COC!E100)</f>
        <v/>
      </c>
      <c r="H87" s="7" t="str">
        <f>IF(COC!H100="","",COC!H100)</f>
        <v/>
      </c>
      <c r="I87" s="7"/>
      <c r="J87" s="7" t="str">
        <f t="shared" si="1"/>
        <v/>
      </c>
    </row>
    <row r="88" spans="1:10" x14ac:dyDescent="0.2">
      <c r="A88" s="13">
        <v>87</v>
      </c>
      <c r="B88" s="20" t="str">
        <f>IF(COC!B101="LEGION1",
INDEX(COCDV[LEGION1 RL'#],MATCH(COC!$I$6,COCDV[SAP Name])),
IF(COC!B101="LEGION",
INDEX(COCDV[LEGION RL'#],MATCH(COC!$I$6,COCDV[SAP Name])),"")
)</f>
        <v/>
      </c>
      <c r="C88" s="17" t="s">
        <v>30</v>
      </c>
      <c r="D88" s="15" t="str">
        <f>IF(COC!I101="","",COC!I101)</f>
        <v/>
      </c>
      <c r="E88" s="12" t="str">
        <f>IF(COC!C101="","",TEXT(COC!C101,"mmmm dd yyyy ")&amp;TEXT(COC!D101,"hh:mm am/pm"))</f>
        <v/>
      </c>
      <c r="F88" s="7"/>
      <c r="G88" s="7" t="str">
        <f>IF(COC!E101="","",COC!E101)</f>
        <v/>
      </c>
      <c r="H88" s="7" t="str">
        <f>IF(COC!H101="","",COC!H101)</f>
        <v/>
      </c>
      <c r="I88" s="7"/>
      <c r="J88" s="7" t="str">
        <f t="shared" si="1"/>
        <v/>
      </c>
    </row>
    <row r="89" spans="1:10" x14ac:dyDescent="0.2">
      <c r="A89" s="13">
        <v>88</v>
      </c>
      <c r="B89" s="20" t="str">
        <f>IF(COC!B102="LEGION1",
INDEX(COCDV[LEGION1 RL'#],MATCH(COC!$I$6,COCDV[SAP Name])),
IF(COC!B102="LEGION",
INDEX(COCDV[LEGION RL'#],MATCH(COC!$I$6,COCDV[SAP Name])),"")
)</f>
        <v/>
      </c>
      <c r="C89" s="17" t="s">
        <v>30</v>
      </c>
      <c r="D89" s="15" t="str">
        <f>IF(COC!I102="","",COC!I102)</f>
        <v/>
      </c>
      <c r="E89" s="12" t="str">
        <f>IF(COC!C102="","",TEXT(COC!C102,"mmmm dd yyyy ")&amp;TEXT(COC!D102,"hh:mm am/pm"))</f>
        <v/>
      </c>
      <c r="F89" s="7"/>
      <c r="G89" s="7" t="str">
        <f>IF(COC!E102="","",COC!E102)</f>
        <v/>
      </c>
      <c r="H89" s="7" t="str">
        <f>IF(COC!H102="","",COC!H102)</f>
        <v/>
      </c>
      <c r="I89" s="7"/>
      <c r="J89" s="7" t="str">
        <f t="shared" si="1"/>
        <v/>
      </c>
    </row>
    <row r="90" spans="1:10" x14ac:dyDescent="0.2">
      <c r="A90" s="13">
        <v>89</v>
      </c>
      <c r="B90" s="20" t="str">
        <f>IF(COC!B103="LEGION1",
INDEX(COCDV[LEGION1 RL'#],MATCH(COC!$I$6,COCDV[SAP Name])),
IF(COC!B103="LEGION",
INDEX(COCDV[LEGION RL'#],MATCH(COC!$I$6,COCDV[SAP Name])),"")
)</f>
        <v/>
      </c>
      <c r="C90" s="17" t="s">
        <v>30</v>
      </c>
      <c r="D90" s="15" t="str">
        <f>IF(COC!I103="","",COC!I103)</f>
        <v/>
      </c>
      <c r="E90" s="12" t="str">
        <f>IF(COC!C103="","",TEXT(COC!C103,"mmmm dd yyyy ")&amp;TEXT(COC!D103,"hh:mm am/pm"))</f>
        <v/>
      </c>
      <c r="F90" s="7"/>
      <c r="G90" s="7" t="str">
        <f>IF(COC!E103="","",COC!E103)</f>
        <v/>
      </c>
      <c r="H90" s="7" t="str">
        <f>IF(COC!H103="","",COC!H103)</f>
        <v/>
      </c>
      <c r="I90" s="7"/>
      <c r="J90" s="7" t="str">
        <f t="shared" si="1"/>
        <v/>
      </c>
    </row>
    <row r="91" spans="1:10" x14ac:dyDescent="0.2">
      <c r="A91" s="13">
        <v>90</v>
      </c>
      <c r="B91" s="20" t="str">
        <f>IF(COC!B104="LEGION1",
INDEX(COCDV[LEGION1 RL'#],MATCH(COC!$I$6,COCDV[SAP Name])),
IF(COC!B104="LEGION",
INDEX(COCDV[LEGION RL'#],MATCH(COC!$I$6,COCDV[SAP Name])),"")
)</f>
        <v/>
      </c>
      <c r="C91" s="17" t="s">
        <v>30</v>
      </c>
      <c r="D91" s="15" t="str">
        <f>IF(COC!I104="","",COC!I104)</f>
        <v/>
      </c>
      <c r="E91" s="12" t="str">
        <f>IF(COC!C104="","",TEXT(COC!C104,"mmmm dd yyyy ")&amp;TEXT(COC!D104,"hh:mm am/pm"))</f>
        <v/>
      </c>
      <c r="F91" s="7"/>
      <c r="G91" s="7" t="str">
        <f>IF(COC!E104="","",COC!E104)</f>
        <v/>
      </c>
      <c r="H91" s="7" t="str">
        <f>IF(COC!H104="","",COC!H104)</f>
        <v/>
      </c>
      <c r="I91" s="7"/>
      <c r="J91" s="7" t="str">
        <f t="shared" si="1"/>
        <v/>
      </c>
    </row>
    <row r="92" spans="1:10" x14ac:dyDescent="0.2">
      <c r="A92" s="13">
        <v>91</v>
      </c>
      <c r="B92" s="20" t="str">
        <f>IF(COC!B105="LEGION1",
INDEX(COCDV[LEGION1 RL'#],MATCH(COC!$I$6,COCDV[SAP Name])),
IF(COC!B105="LEGION",
INDEX(COCDV[LEGION RL'#],MATCH(COC!$I$6,COCDV[SAP Name])),"")
)</f>
        <v/>
      </c>
      <c r="C92" s="17" t="s">
        <v>30</v>
      </c>
      <c r="D92" s="15" t="str">
        <f>IF(COC!I105="","",COC!I105)</f>
        <v/>
      </c>
      <c r="E92" s="12" t="str">
        <f>IF(COC!C105="","",TEXT(COC!C105,"mmmm dd yyyy ")&amp;TEXT(COC!D105,"hh:mm am/pm"))</f>
        <v/>
      </c>
      <c r="F92" s="7"/>
      <c r="G92" s="7" t="str">
        <f>IF(COC!E105="","",COC!E105)</f>
        <v/>
      </c>
      <c r="H92" s="7" t="str">
        <f>IF(COC!H105="","",COC!H105)</f>
        <v/>
      </c>
      <c r="I92" s="7"/>
      <c r="J92" s="7" t="str">
        <f t="shared" si="1"/>
        <v/>
      </c>
    </row>
    <row r="93" spans="1:10" x14ac:dyDescent="0.2">
      <c r="A93" s="13">
        <v>92</v>
      </c>
      <c r="B93" s="20" t="str">
        <f>IF(COC!B106="LEGION1",
INDEX(COCDV[LEGION1 RL'#],MATCH(COC!$I$6,COCDV[SAP Name])),
IF(COC!B106="LEGION",
INDEX(COCDV[LEGION RL'#],MATCH(COC!$I$6,COCDV[SAP Name])),"")
)</f>
        <v/>
      </c>
      <c r="C93" s="17" t="s">
        <v>30</v>
      </c>
      <c r="D93" s="15" t="str">
        <f>IF(COC!I106="","",COC!I106)</f>
        <v/>
      </c>
      <c r="E93" s="12" t="str">
        <f>IF(COC!C106="","",TEXT(COC!C106,"mmmm dd yyyy ")&amp;TEXT(COC!D106,"hh:mm am/pm"))</f>
        <v/>
      </c>
      <c r="F93" s="7"/>
      <c r="G93" s="7" t="str">
        <f>IF(COC!E106="","",COC!E106)</f>
        <v/>
      </c>
      <c r="H93" s="7" t="str">
        <f>IF(COC!H106="","",COC!H106)</f>
        <v/>
      </c>
      <c r="I93" s="7"/>
      <c r="J93" s="7" t="str">
        <f t="shared" si="1"/>
        <v/>
      </c>
    </row>
    <row r="94" spans="1:10" x14ac:dyDescent="0.2">
      <c r="A94" s="13">
        <v>93</v>
      </c>
      <c r="B94" s="20" t="str">
        <f>IF(COC!B107="LEGION1",
INDEX(COCDV[LEGION1 RL'#],MATCH(COC!$I$6,COCDV[SAP Name])),
IF(COC!B107="LEGION",
INDEX(COCDV[LEGION RL'#],MATCH(COC!$I$6,COCDV[SAP Name])),"")
)</f>
        <v/>
      </c>
      <c r="C94" s="17" t="s">
        <v>30</v>
      </c>
      <c r="D94" s="15" t="str">
        <f>IF(COC!I107="","",COC!I107)</f>
        <v/>
      </c>
      <c r="E94" s="12" t="str">
        <f>IF(COC!C107="","",TEXT(COC!C107,"mmmm dd yyyy ")&amp;TEXT(COC!D107,"hh:mm am/pm"))</f>
        <v/>
      </c>
      <c r="F94" s="7"/>
      <c r="G94" s="7" t="str">
        <f>IF(COC!E107="","",COC!E107)</f>
        <v/>
      </c>
      <c r="H94" s="7" t="str">
        <f>IF(COC!H107="","",COC!H107)</f>
        <v/>
      </c>
      <c r="I94" s="7"/>
      <c r="J94" s="7" t="str">
        <f t="shared" si="1"/>
        <v/>
      </c>
    </row>
    <row r="95" spans="1:10" x14ac:dyDescent="0.2">
      <c r="A95" s="13">
        <v>94</v>
      </c>
      <c r="B95" s="20" t="str">
        <f>IF(COC!B108="LEGION1",
INDEX(COCDV[LEGION1 RL'#],MATCH(COC!$I$6,COCDV[SAP Name])),
IF(COC!B108="LEGION",
INDEX(COCDV[LEGION RL'#],MATCH(COC!$I$6,COCDV[SAP Name])),"")
)</f>
        <v/>
      </c>
      <c r="C95" s="17" t="s">
        <v>30</v>
      </c>
      <c r="D95" s="15" t="str">
        <f>IF(COC!I108="","",COC!I108)</f>
        <v/>
      </c>
      <c r="E95" s="12" t="str">
        <f>IF(COC!C108="","",TEXT(COC!C108,"mmmm dd yyyy ")&amp;TEXT(COC!D108,"hh:mm am/pm"))</f>
        <v/>
      </c>
      <c r="F95" s="7"/>
      <c r="G95" s="7" t="str">
        <f>IF(COC!E108="","",COC!E108)</f>
        <v/>
      </c>
      <c r="H95" s="7" t="str">
        <f>IF(COC!H108="","",COC!H108)</f>
        <v/>
      </c>
      <c r="I95" s="7"/>
      <c r="J95" s="7" t="str">
        <f t="shared" si="1"/>
        <v/>
      </c>
    </row>
    <row r="96" spans="1:10" x14ac:dyDescent="0.2">
      <c r="A96" s="13">
        <v>95</v>
      </c>
      <c r="B96" s="20" t="str">
        <f>IF(COC!B109="LEGION1",
INDEX(COCDV[LEGION1 RL'#],MATCH(COC!$I$6,COCDV[SAP Name])),
IF(COC!B109="LEGION",
INDEX(COCDV[LEGION RL'#],MATCH(COC!$I$6,COCDV[SAP Name])),"")
)</f>
        <v/>
      </c>
      <c r="C96" s="17" t="s">
        <v>30</v>
      </c>
      <c r="D96" s="15" t="str">
        <f>IF(COC!I109="","",COC!I109)</f>
        <v/>
      </c>
      <c r="E96" s="12" t="str">
        <f>IF(COC!C109="","",TEXT(COC!C109,"mmmm dd yyyy ")&amp;TEXT(COC!D109,"hh:mm am/pm"))</f>
        <v/>
      </c>
      <c r="F96" s="7"/>
      <c r="G96" s="7" t="str">
        <f>IF(COC!E109="","",COC!E109)</f>
        <v/>
      </c>
      <c r="H96" s="7" t="str">
        <f>IF(COC!H109="","",COC!H109)</f>
        <v/>
      </c>
      <c r="I96" s="7"/>
      <c r="J96" s="7" t="str">
        <f t="shared" si="1"/>
        <v/>
      </c>
    </row>
    <row r="97" spans="1:10" x14ac:dyDescent="0.2">
      <c r="A97" s="13">
        <v>96</v>
      </c>
      <c r="B97" s="20" t="str">
        <f>IF(COC!B110="LEGION1",
INDEX(COCDV[LEGION1 RL'#],MATCH(COC!$I$6,COCDV[SAP Name])),
IF(COC!B110="LEGION",
INDEX(COCDV[LEGION RL'#],MATCH(COC!$I$6,COCDV[SAP Name])),"")
)</f>
        <v/>
      </c>
      <c r="C97" s="17" t="s">
        <v>30</v>
      </c>
      <c r="D97" s="15" t="str">
        <f>IF(COC!I110="","",COC!I110)</f>
        <v/>
      </c>
      <c r="E97" s="12" t="str">
        <f>IF(COC!C110="","",TEXT(COC!C110,"mmmm dd yyyy ")&amp;TEXT(COC!D110,"hh:mm am/pm"))</f>
        <v/>
      </c>
      <c r="F97" s="7"/>
      <c r="G97" s="7" t="str">
        <f>IF(COC!E110="","",COC!E110)</f>
        <v/>
      </c>
      <c r="H97" s="7" t="str">
        <f>IF(COC!H110="","",COC!H110)</f>
        <v/>
      </c>
      <c r="I97" s="7"/>
      <c r="J97" s="7" t="str">
        <f t="shared" si="1"/>
        <v/>
      </c>
    </row>
    <row r="98" spans="1:10" x14ac:dyDescent="0.2">
      <c r="A98" s="13">
        <v>97</v>
      </c>
      <c r="B98" s="20" t="str">
        <f>IF(COC!B111="LEGION1",
INDEX(COCDV[LEGION1 RL'#],MATCH(COC!$I$6,COCDV[SAP Name])),
IF(COC!B111="LEGION",
INDEX(COCDV[LEGION RL'#],MATCH(COC!$I$6,COCDV[SAP Name])),"")
)</f>
        <v/>
      </c>
      <c r="C98" s="17" t="s">
        <v>30</v>
      </c>
      <c r="D98" s="15" t="str">
        <f>IF(COC!I111="","",COC!I111)</f>
        <v/>
      </c>
      <c r="E98" s="12" t="str">
        <f>IF(COC!C111="","",TEXT(COC!C111,"mmmm dd yyyy ")&amp;TEXT(COC!D111,"hh:mm am/pm"))</f>
        <v/>
      </c>
      <c r="F98" s="7"/>
      <c r="G98" s="7" t="str">
        <f>IF(COC!E111="","",COC!E111)</f>
        <v/>
      </c>
      <c r="H98" s="7" t="str">
        <f>IF(COC!H111="","",COC!H111)</f>
        <v/>
      </c>
      <c r="I98" s="7"/>
      <c r="J98" s="7" t="str">
        <f t="shared" si="1"/>
        <v/>
      </c>
    </row>
    <row r="99" spans="1:10" x14ac:dyDescent="0.2">
      <c r="A99" s="13">
        <v>98</v>
      </c>
      <c r="B99" s="20" t="str">
        <f>IF(COC!B112="LEGION1",
INDEX(COCDV[LEGION1 RL'#],MATCH(COC!$I$6,COCDV[SAP Name])),
IF(COC!B112="LEGION",
INDEX(COCDV[LEGION RL'#],MATCH(COC!$I$6,COCDV[SAP Name])),"")
)</f>
        <v/>
      </c>
      <c r="C99" s="17" t="s">
        <v>30</v>
      </c>
      <c r="D99" s="15" t="str">
        <f>IF(COC!I112="","",COC!I112)</f>
        <v/>
      </c>
      <c r="E99" s="12" t="str">
        <f>IF(COC!C112="","",TEXT(COC!C112,"mmmm dd yyyy ")&amp;TEXT(COC!D112,"hh:mm am/pm"))</f>
        <v/>
      </c>
      <c r="F99" s="7"/>
      <c r="G99" s="7" t="str">
        <f>IF(COC!E112="","",COC!E112)</f>
        <v/>
      </c>
      <c r="H99" s="7" t="str">
        <f>IF(COC!H112="","",COC!H112)</f>
        <v/>
      </c>
      <c r="I99" s="7"/>
      <c r="J99" s="7" t="str">
        <f t="shared" si="1"/>
        <v/>
      </c>
    </row>
    <row r="100" spans="1:10" x14ac:dyDescent="0.2">
      <c r="A100" s="13">
        <v>99</v>
      </c>
      <c r="B100" s="20" t="str">
        <f>IF(COC!B113="LEGION1",
INDEX(COCDV[LEGION1 RL'#],MATCH(COC!$I$6,COCDV[SAP Name])),
IF(COC!B113="LEGION",
INDEX(COCDV[LEGION RL'#],MATCH(COC!$I$6,COCDV[SAP Name])),"")
)</f>
        <v/>
      </c>
      <c r="C100" s="17" t="s">
        <v>30</v>
      </c>
      <c r="D100" s="15" t="str">
        <f>IF(COC!I113="","",COC!I113)</f>
        <v/>
      </c>
      <c r="E100" s="12" t="str">
        <f>IF(COC!C113="","",TEXT(COC!C113,"mmmm dd yyyy ")&amp;TEXT(COC!D113,"hh:mm am/pm"))</f>
        <v/>
      </c>
      <c r="F100" s="7"/>
      <c r="G100" s="7" t="str">
        <f>IF(COC!E113="","",COC!E113)</f>
        <v/>
      </c>
      <c r="H100" s="7" t="str">
        <f>IF(COC!H113="","",COC!H113)</f>
        <v/>
      </c>
      <c r="I100" s="7"/>
      <c r="J100" s="7" t="str">
        <f t="shared" si="1"/>
        <v/>
      </c>
    </row>
    <row r="101" spans="1:10" x14ac:dyDescent="0.2">
      <c r="A101" s="13">
        <v>100</v>
      </c>
      <c r="B101" s="20" t="str">
        <f>IF(COC!B114="LEGION1",
INDEX(COCDV[LEGION1 RL'#],MATCH(COC!$I$6,COCDV[SAP Name])),
IF(COC!B114="LEGION",
INDEX(COCDV[LEGION RL'#],MATCH(COC!$I$6,COCDV[SAP Name])),"")
)</f>
        <v/>
      </c>
      <c r="C101" s="17" t="s">
        <v>30</v>
      </c>
      <c r="D101" s="15" t="str">
        <f>IF(COC!I114="","",COC!I114)</f>
        <v/>
      </c>
      <c r="E101" s="12" t="str">
        <f>IF(COC!C114="","",TEXT(COC!C114,"mmmm dd yyyy ")&amp;TEXT(COC!D114,"hh:mm am/pm"))</f>
        <v/>
      </c>
      <c r="F101" s="7"/>
      <c r="G101" s="7" t="str">
        <f>IF(COC!E114="","",COC!E114)</f>
        <v/>
      </c>
      <c r="H101" s="7" t="str">
        <f>IF(COC!H114="","",COC!H114)</f>
        <v/>
      </c>
      <c r="I101" s="7"/>
      <c r="J101" s="7" t="str">
        <f t="shared" si="1"/>
        <v/>
      </c>
    </row>
    <row r="102" spans="1:10" x14ac:dyDescent="0.2">
      <c r="A102" s="13">
        <v>101</v>
      </c>
      <c r="B102" s="20" t="str">
        <f>IF(COC!B115="LEGION1",
INDEX(COCDV[LEGION1 RL'#],MATCH(COC!$I$6,COCDV[SAP Name])),
IF(COC!B115="LEGION",
INDEX(COCDV[LEGION RL'#],MATCH(COC!$I$6,COCDV[SAP Name])),"")
)</f>
        <v/>
      </c>
      <c r="C102" s="17" t="s">
        <v>30</v>
      </c>
      <c r="D102" s="15" t="str">
        <f>IF(COC!I115="","",COC!I115)</f>
        <v/>
      </c>
      <c r="E102" s="12" t="str">
        <f>IF(COC!C115="","",TEXT(COC!C115,"mmmm dd yyyy ")&amp;TEXT(COC!D115,"hh:mm am/pm"))</f>
        <v/>
      </c>
      <c r="F102" s="7"/>
      <c r="G102" s="7" t="str">
        <f>IF(COC!E115="","",COC!E115)</f>
        <v/>
      </c>
      <c r="H102" s="7" t="str">
        <f>IF(COC!H115="","",COC!H115)</f>
        <v/>
      </c>
      <c r="I102" s="7"/>
      <c r="J102" s="7" t="str">
        <f t="shared" si="1"/>
        <v/>
      </c>
    </row>
    <row r="103" spans="1:10" x14ac:dyDescent="0.2">
      <c r="A103" s="13">
        <v>102</v>
      </c>
      <c r="B103" s="20" t="str">
        <f>IF(COC!B116="LEGION1",
INDEX(COCDV[LEGION1 RL'#],MATCH(COC!$I$6,COCDV[SAP Name])),
IF(COC!B116="LEGION",
INDEX(COCDV[LEGION RL'#],MATCH(COC!$I$6,COCDV[SAP Name])),"")
)</f>
        <v/>
      </c>
      <c r="C103" s="17" t="s">
        <v>30</v>
      </c>
      <c r="D103" s="15" t="str">
        <f>IF(COC!I116="","",COC!I116)</f>
        <v/>
      </c>
      <c r="E103" s="12" t="str">
        <f>IF(COC!C116="","",TEXT(COC!C116,"mmmm dd yyyy ")&amp;TEXT(COC!D116,"hh:mm am/pm"))</f>
        <v/>
      </c>
      <c r="F103" s="7"/>
      <c r="G103" s="7" t="str">
        <f>IF(COC!E116="","",COC!E116)</f>
        <v/>
      </c>
      <c r="H103" s="7" t="str">
        <f>IF(COC!H116="","",COC!H116)</f>
        <v/>
      </c>
      <c r="I103" s="7"/>
      <c r="J103" s="7" t="str">
        <f t="shared" si="1"/>
        <v/>
      </c>
    </row>
    <row r="104" spans="1:10" x14ac:dyDescent="0.2">
      <c r="A104" s="13">
        <v>103</v>
      </c>
      <c r="B104" s="20" t="str">
        <f>IF(COC!B117="LEGION1",
INDEX(COCDV[LEGION1 RL'#],MATCH(COC!$I$6,COCDV[SAP Name])),
IF(COC!B117="LEGION",
INDEX(COCDV[LEGION RL'#],MATCH(COC!$I$6,COCDV[SAP Name])),"")
)</f>
        <v/>
      </c>
      <c r="C104" s="17" t="s">
        <v>30</v>
      </c>
      <c r="D104" s="15" t="str">
        <f>IF(COC!I117="","",COC!I117)</f>
        <v/>
      </c>
      <c r="E104" s="12" t="str">
        <f>IF(COC!C117="","",TEXT(COC!C117,"mmmm dd yyyy ")&amp;TEXT(COC!D117,"hh:mm am/pm"))</f>
        <v/>
      </c>
      <c r="F104" s="7"/>
      <c r="G104" s="7" t="str">
        <f>IF(COC!E117="","",COC!E117)</f>
        <v/>
      </c>
      <c r="H104" s="7" t="str">
        <f>IF(COC!H117="","",COC!H117)</f>
        <v/>
      </c>
      <c r="I104" s="7"/>
      <c r="J104" s="7" t="str">
        <f t="shared" si="1"/>
        <v/>
      </c>
    </row>
    <row r="105" spans="1:10" x14ac:dyDescent="0.2">
      <c r="A105" s="13">
        <v>104</v>
      </c>
      <c r="B105" s="20" t="str">
        <f>IF(COC!B118="LEGION1",
INDEX(COCDV[LEGION1 RL'#],MATCH(COC!$I$6,COCDV[SAP Name])),
IF(COC!B118="LEGION",
INDEX(COCDV[LEGION RL'#],MATCH(COC!$I$6,COCDV[SAP Name])),"")
)</f>
        <v/>
      </c>
      <c r="C105" s="17" t="s">
        <v>30</v>
      </c>
      <c r="D105" s="15" t="str">
        <f>IF(COC!I118="","",COC!I118)</f>
        <v/>
      </c>
      <c r="E105" s="12" t="str">
        <f>IF(COC!C118="","",TEXT(COC!C118,"mmmm dd yyyy ")&amp;TEXT(COC!D118,"hh:mm am/pm"))</f>
        <v/>
      </c>
      <c r="F105" s="7"/>
      <c r="G105" s="7" t="str">
        <f>IF(COC!E118="","",COC!E118)</f>
        <v/>
      </c>
      <c r="H105" s="7" t="str">
        <f>IF(COC!H118="","",COC!H118)</f>
        <v/>
      </c>
      <c r="I105" s="7"/>
      <c r="J105" s="7" t="str">
        <f t="shared" si="1"/>
        <v/>
      </c>
    </row>
    <row r="106" spans="1:10" x14ac:dyDescent="0.2">
      <c r="A106" s="13">
        <v>105</v>
      </c>
      <c r="B106" s="20" t="str">
        <f>IF(COC!B119="LEGION1",
INDEX(COCDV[LEGION1 RL'#],MATCH(COC!$I$6,COCDV[SAP Name])),
IF(COC!B119="LEGION",
INDEX(COCDV[LEGION RL'#],MATCH(COC!$I$6,COCDV[SAP Name])),"")
)</f>
        <v/>
      </c>
      <c r="C106" s="17" t="s">
        <v>30</v>
      </c>
      <c r="D106" s="15" t="str">
        <f>IF(COC!I119="","",COC!I119)</f>
        <v/>
      </c>
      <c r="E106" s="12" t="str">
        <f>IF(COC!C119="","",TEXT(COC!C119,"mmmm dd yyyy ")&amp;TEXT(COC!D119,"hh:mm am/pm"))</f>
        <v/>
      </c>
      <c r="F106" s="7"/>
      <c r="G106" s="7" t="str">
        <f>IF(COC!E119="","",COC!E119)</f>
        <v/>
      </c>
      <c r="H106" s="7" t="str">
        <f>IF(COC!H119="","",COC!H119)</f>
        <v/>
      </c>
      <c r="I106" s="7"/>
      <c r="J106" s="7" t="str">
        <f t="shared" si="1"/>
        <v/>
      </c>
    </row>
    <row r="107" spans="1:10" x14ac:dyDescent="0.2">
      <c r="A107" s="13">
        <v>106</v>
      </c>
      <c r="B107" s="20" t="str">
        <f>IF(COC!B120="LEGION1",
INDEX(COCDV[LEGION1 RL'#],MATCH(COC!$I$6,COCDV[SAP Name])),
IF(COC!B120="LEGION",
INDEX(COCDV[LEGION RL'#],MATCH(COC!$I$6,COCDV[SAP Name])),"")
)</f>
        <v/>
      </c>
      <c r="C107" s="17" t="s">
        <v>30</v>
      </c>
      <c r="D107" s="15" t="str">
        <f>IF(COC!I120="","",COC!I120)</f>
        <v/>
      </c>
      <c r="E107" s="12" t="str">
        <f>IF(COC!C120="","",TEXT(COC!C120,"mmmm dd yyyy ")&amp;TEXT(COC!D120,"hh:mm am/pm"))</f>
        <v/>
      </c>
      <c r="F107" s="7"/>
      <c r="G107" s="7" t="str">
        <f>IF(COC!E120="","",COC!E120)</f>
        <v/>
      </c>
      <c r="H107" s="7" t="str">
        <f>IF(COC!H120="","",COC!H120)</f>
        <v/>
      </c>
      <c r="I107" s="7"/>
      <c r="J107" s="7" t="str">
        <f t="shared" si="1"/>
        <v/>
      </c>
    </row>
    <row r="108" spans="1:10" x14ac:dyDescent="0.2">
      <c r="A108" s="13">
        <v>107</v>
      </c>
      <c r="B108" s="20" t="str">
        <f>IF(COC!B121="LEGION1",
INDEX(COCDV[LEGION1 RL'#],MATCH(COC!$I$6,COCDV[SAP Name])),
IF(COC!B121="LEGION",
INDEX(COCDV[LEGION RL'#],MATCH(COC!$I$6,COCDV[SAP Name])),"")
)</f>
        <v/>
      </c>
      <c r="C108" s="17" t="s">
        <v>30</v>
      </c>
      <c r="D108" s="15" t="str">
        <f>IF(COC!I121="","",COC!I121)</f>
        <v/>
      </c>
      <c r="E108" s="12" t="str">
        <f>IF(COC!C121="","",TEXT(COC!C121,"mmmm dd yyyy ")&amp;TEXT(COC!D121,"hh:mm am/pm"))</f>
        <v/>
      </c>
      <c r="F108" s="7"/>
      <c r="G108" s="7" t="str">
        <f>IF(COC!E121="","",COC!E121)</f>
        <v/>
      </c>
      <c r="H108" s="7" t="str">
        <f>IF(COC!H121="","",COC!H121)</f>
        <v/>
      </c>
      <c r="I108" s="7"/>
      <c r="J108" s="7" t="str">
        <f t="shared" si="1"/>
        <v/>
      </c>
    </row>
    <row r="109" spans="1:10" x14ac:dyDescent="0.2">
      <c r="A109" s="13">
        <v>108</v>
      </c>
      <c r="B109" s="20" t="str">
        <f>IF(COC!B122="LEGION1",
INDEX(COCDV[LEGION1 RL'#],MATCH(COC!$I$6,COCDV[SAP Name])),
IF(COC!B122="LEGION",
INDEX(COCDV[LEGION RL'#],MATCH(COC!$I$6,COCDV[SAP Name])),"")
)</f>
        <v/>
      </c>
      <c r="C109" s="17" t="s">
        <v>30</v>
      </c>
      <c r="D109" s="15" t="str">
        <f>IF(COC!I122="","",COC!I122)</f>
        <v/>
      </c>
      <c r="E109" s="12" t="str">
        <f>IF(COC!C122="","",TEXT(COC!C122,"mmmm dd yyyy ")&amp;TEXT(COC!D122,"hh:mm am/pm"))</f>
        <v/>
      </c>
      <c r="F109" s="7"/>
      <c r="G109" s="7" t="str">
        <f>IF(COC!E122="","",COC!E122)</f>
        <v/>
      </c>
      <c r="H109" s="7" t="str">
        <f>IF(COC!H122="","",COC!H122)</f>
        <v/>
      </c>
      <c r="I109" s="7"/>
      <c r="J109" s="7" t="str">
        <f t="shared" si="1"/>
        <v/>
      </c>
    </row>
    <row r="110" spans="1:10" x14ac:dyDescent="0.2">
      <c r="A110" s="13">
        <v>109</v>
      </c>
      <c r="B110" s="20" t="str">
        <f>IF(COC!B123="LEGION1",
INDEX(COCDV[LEGION1 RL'#],MATCH(COC!$I$6,COCDV[SAP Name])),
IF(COC!B123="LEGION",
INDEX(COCDV[LEGION RL'#],MATCH(COC!$I$6,COCDV[SAP Name])),"")
)</f>
        <v/>
      </c>
      <c r="C110" s="17" t="s">
        <v>30</v>
      </c>
      <c r="D110" s="15" t="str">
        <f>IF(COC!I123="","",COC!I123)</f>
        <v/>
      </c>
      <c r="E110" s="12" t="str">
        <f>IF(COC!C123="","",TEXT(COC!C123,"mmmm dd yyyy ")&amp;TEXT(COC!D123,"hh:mm am/pm"))</f>
        <v/>
      </c>
      <c r="F110" s="7"/>
      <c r="G110" s="7" t="str">
        <f>IF(COC!E123="","",COC!E123)</f>
        <v/>
      </c>
      <c r="H110" s="7" t="str">
        <f>IF(COC!H123="","",COC!H123)</f>
        <v/>
      </c>
      <c r="I110" s="7"/>
      <c r="J110" s="7" t="str">
        <f t="shared" si="1"/>
        <v/>
      </c>
    </row>
    <row r="111" spans="1:10" x14ac:dyDescent="0.2">
      <c r="A111" s="13">
        <v>110</v>
      </c>
      <c r="B111" s="20" t="str">
        <f>IF(COC!B124="LEGION1",
INDEX(COCDV[LEGION1 RL'#],MATCH(COC!$I$6,COCDV[SAP Name])),
IF(COC!B124="LEGION",
INDEX(COCDV[LEGION RL'#],MATCH(COC!$I$6,COCDV[SAP Name])),"")
)</f>
        <v/>
      </c>
      <c r="C111" s="17" t="s">
        <v>30</v>
      </c>
      <c r="D111" s="15" t="str">
        <f>IF(COC!I124="","",COC!I124)</f>
        <v/>
      </c>
      <c r="E111" s="12" t="str">
        <f>IF(COC!C124="","",TEXT(COC!C124,"mmmm dd yyyy ")&amp;TEXT(COC!D124,"hh:mm am/pm"))</f>
        <v/>
      </c>
      <c r="F111" s="7"/>
      <c r="G111" s="7" t="str">
        <f>IF(COC!E124="","",COC!E124)</f>
        <v/>
      </c>
      <c r="H111" s="7" t="str">
        <f>IF(COC!H124="","",COC!H124)</f>
        <v/>
      </c>
      <c r="I111" s="7"/>
      <c r="J111" s="7" t="str">
        <f t="shared" si="1"/>
        <v/>
      </c>
    </row>
    <row r="112" spans="1:10" x14ac:dyDescent="0.2">
      <c r="A112" s="13">
        <v>111</v>
      </c>
      <c r="B112" s="20" t="str">
        <f>IF(COC!B125="LEGION1",
INDEX(COCDV[LEGION1 RL'#],MATCH(COC!$I$6,COCDV[SAP Name])),
IF(COC!B125="LEGION",
INDEX(COCDV[LEGION RL'#],MATCH(COC!$I$6,COCDV[SAP Name])),"")
)</f>
        <v/>
      </c>
      <c r="C112" s="17" t="s">
        <v>30</v>
      </c>
      <c r="D112" s="15" t="str">
        <f>IF(COC!I125="","",COC!I125)</f>
        <v/>
      </c>
      <c r="E112" s="12" t="str">
        <f>IF(COC!C125="","",TEXT(COC!C125,"m/dd/yy ")&amp;TEXT(COC!D125,"hh:mm:ss"))</f>
        <v/>
      </c>
      <c r="F112" s="7"/>
      <c r="G112" s="7" t="str">
        <f>IF(COC!E125="","",COC!E125)</f>
        <v/>
      </c>
      <c r="H112" s="7" t="str">
        <f>IF(COC!H125="","",COC!H125)</f>
        <v/>
      </c>
      <c r="I112" s="7"/>
      <c r="J112" s="7" t="str">
        <f t="shared" si="1"/>
        <v/>
      </c>
    </row>
    <row r="113" spans="1:10" x14ac:dyDescent="0.2">
      <c r="A113" s="13">
        <v>112</v>
      </c>
      <c r="B113" s="20" t="str">
        <f>IF(COC!B126="LEGION1",
INDEX(COCDV[LEGION1 RL'#],MATCH(COC!$I$6,COCDV[SAP Name])),
IF(COC!B126="LEGION",
INDEX(COCDV[LEGION RL'#],MATCH(COC!$I$6,COCDV[SAP Name])),"")
)</f>
        <v/>
      </c>
      <c r="C113" s="17" t="s">
        <v>30</v>
      </c>
      <c r="D113" s="15" t="str">
        <f>IF(COC!I126="","",COC!I126)</f>
        <v/>
      </c>
      <c r="E113" s="12" t="str">
        <f>IF(COC!C126="","",TEXT(COC!C126,"m/dd/yy ")&amp;TEXT(COC!D126,"hh:mm:ss"))</f>
        <v/>
      </c>
      <c r="F113" s="7"/>
      <c r="G113" s="7" t="str">
        <f>IF(COC!E126="","",COC!E126)</f>
        <v/>
      </c>
      <c r="H113" s="7" t="str">
        <f>IF(COC!H126="","",COC!H126)</f>
        <v/>
      </c>
      <c r="I113" s="7"/>
      <c r="J113" s="7" t="str">
        <f t="shared" si="1"/>
        <v/>
      </c>
    </row>
    <row r="114" spans="1:10" x14ac:dyDescent="0.2">
      <c r="A114" s="13">
        <v>113</v>
      </c>
      <c r="B114" s="20" t="str">
        <f>IF(COC!B127="LEGION1",
INDEX(COCDV[LEGION1 RL'#],MATCH(COC!$I$6,COCDV[SAP Name])),
IF(COC!B127="LEGION",
INDEX(COCDV[LEGION RL'#],MATCH(COC!$I$6,COCDV[SAP Name])),"")
)</f>
        <v/>
      </c>
      <c r="C114" s="17" t="s">
        <v>30</v>
      </c>
      <c r="D114" s="15" t="str">
        <f>IF(COC!I127="","",COC!I127)</f>
        <v/>
      </c>
      <c r="E114" s="12" t="str">
        <f>IF(COC!C127="","",TEXT(COC!C127,"m/dd/yy ")&amp;TEXT(COC!D127,"hh:mm:ss"))</f>
        <v/>
      </c>
      <c r="F114" s="7"/>
      <c r="G114" s="7" t="str">
        <f>IF(COC!E127="","",COC!E127)</f>
        <v/>
      </c>
      <c r="H114" s="7" t="str">
        <f>IF(COC!H127="","",COC!H127)</f>
        <v/>
      </c>
      <c r="I114" s="7"/>
      <c r="J114" s="7" t="str">
        <f t="shared" si="1"/>
        <v/>
      </c>
    </row>
    <row r="115" spans="1:10" x14ac:dyDescent="0.2">
      <c r="A115" s="13">
        <v>114</v>
      </c>
      <c r="B115" s="20" t="str">
        <f>IF(COC!B128="LEGION1",
INDEX(COCDV[LEGION1 RL'#],MATCH(COC!$I$6,COCDV[SAP Name])),
IF(COC!B128="LEGION",
INDEX(COCDV[LEGION RL'#],MATCH(COC!$I$6,COCDV[SAP Name])),"")
)</f>
        <v/>
      </c>
      <c r="C115" s="17" t="s">
        <v>30</v>
      </c>
      <c r="D115" s="15" t="str">
        <f>IF(COC!I128="","",COC!I128)</f>
        <v/>
      </c>
      <c r="E115" s="12" t="str">
        <f>IF(COC!C128="","",TEXT(COC!C128,"m/dd/yy ")&amp;TEXT(COC!D128,"hh:mm:ss"))</f>
        <v/>
      </c>
      <c r="F115" s="7"/>
      <c r="G115" s="7" t="str">
        <f>IF(COC!E128="","",COC!E128)</f>
        <v/>
      </c>
      <c r="H115" s="7" t="str">
        <f>IF(COC!H128="","",COC!H128)</f>
        <v/>
      </c>
      <c r="I115" s="7"/>
      <c r="J115" s="7" t="str">
        <f t="shared" si="1"/>
        <v/>
      </c>
    </row>
    <row r="116" spans="1:10" x14ac:dyDescent="0.2">
      <c r="A116" s="13">
        <v>115</v>
      </c>
      <c r="B116" s="20" t="str">
        <f>IF(COC!B129="LEGION1",
INDEX(COCDV[LEGION1 RL'#],MATCH(COC!$I$6,COCDV[SAP Name])),
IF(COC!B129="LEGION",
INDEX(COCDV[LEGION RL'#],MATCH(COC!$I$6,COCDV[SAP Name])),"")
)</f>
        <v/>
      </c>
      <c r="C116" s="17" t="s">
        <v>30</v>
      </c>
      <c r="D116" s="15" t="str">
        <f>IF(COC!I129="","",COC!I129)</f>
        <v/>
      </c>
      <c r="E116" s="12" t="str">
        <f>IF(COC!C129="","",TEXT(COC!C129,"m/dd/yy ")&amp;TEXT(COC!D129,"hh:mm:ss"))</f>
        <v/>
      </c>
      <c r="F116" s="7"/>
      <c r="G116" s="7" t="str">
        <f>IF(COC!E129="","",COC!E129)</f>
        <v/>
      </c>
      <c r="H116" s="7" t="str">
        <f>IF(COC!H129="","",COC!H129)</f>
        <v/>
      </c>
      <c r="I116" s="7"/>
      <c r="J116" s="7" t="str">
        <f t="shared" si="1"/>
        <v/>
      </c>
    </row>
    <row r="117" spans="1:10" x14ac:dyDescent="0.2">
      <c r="A117" s="13">
        <v>116</v>
      </c>
      <c r="B117" s="20" t="str">
        <f>IF(COC!B130="LEGION1",
INDEX(COCDV[LEGION1 RL'#],MATCH(COC!$I$6,COCDV[SAP Name])),
IF(COC!B130="LEGION",
INDEX(COCDV[LEGION RL'#],MATCH(COC!$I$6,COCDV[SAP Name])),"")
)</f>
        <v/>
      </c>
      <c r="C117" s="17" t="s">
        <v>30</v>
      </c>
      <c r="D117" s="15" t="str">
        <f>IF(COC!I130="","",COC!I130)</f>
        <v/>
      </c>
      <c r="E117" s="12" t="str">
        <f>IF(COC!C130="","",TEXT(COC!C130,"m/dd/yy ")&amp;TEXT(COC!D130,"hh:mm:ss"))</f>
        <v/>
      </c>
      <c r="F117" s="7"/>
      <c r="G117" s="7" t="str">
        <f>IF(COC!E130="","",COC!E130)</f>
        <v/>
      </c>
      <c r="H117" s="7" t="str">
        <f>IF(COC!H130="","",COC!H130)</f>
        <v/>
      </c>
      <c r="I117" s="7"/>
      <c r="J117" s="7" t="str">
        <f t="shared" si="1"/>
        <v/>
      </c>
    </row>
    <row r="118" spans="1:10" x14ac:dyDescent="0.2">
      <c r="A118" s="13">
        <v>117</v>
      </c>
      <c r="B118" s="20" t="str">
        <f>IF(COC!B131="LEGION1",
INDEX(COCDV[LEGION1 RL'#],MATCH(COC!$I$6,COCDV[SAP Name])),
IF(COC!B131="LEGION",
INDEX(COCDV[LEGION RL'#],MATCH(COC!$I$6,COCDV[SAP Name])),"")
)</f>
        <v/>
      </c>
      <c r="C118" s="17" t="s">
        <v>30</v>
      </c>
      <c r="D118" s="15" t="str">
        <f>IF(COC!I131="","",COC!I131)</f>
        <v/>
      </c>
      <c r="E118" s="12" t="str">
        <f>IF(COC!C131="","",TEXT(COC!C131,"m/dd/yy ")&amp;TEXT(COC!D131,"hh:mm:ss"))</f>
        <v/>
      </c>
      <c r="F118" s="7"/>
      <c r="G118" s="7" t="str">
        <f>IF(COC!E131="","",COC!E131)</f>
        <v/>
      </c>
      <c r="H118" s="7" t="str">
        <f>IF(COC!H131="","",COC!H131)</f>
        <v/>
      </c>
      <c r="I118" s="7"/>
      <c r="J118" s="7" t="str">
        <f t="shared" si="1"/>
        <v/>
      </c>
    </row>
  </sheetData>
  <pageMargins left="0.25" right="0.25" top="0.75" bottom="0.75" header="0.3" footer="0.3"/>
  <pageSetup orientation="landscape" r:id="rId1"/>
  <headerFooter>
    <oddHeader xml:space="preserve">&amp;L </oddHeader>
    <oddFooter xml:space="preserve">&amp;LCustomer# 150372150&amp;RTotal Pages:1 &amp; | Pg. &amp;P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32164-9FF5-4667-9456-3496CD9ABDE7}">
  <sheetPr codeName="Sheet3"/>
  <dimension ref="A1:Z120"/>
  <sheetViews>
    <sheetView topLeftCell="I1" workbookViewId="0">
      <selection activeCell="J2" sqref="J2"/>
    </sheetView>
  </sheetViews>
  <sheetFormatPr baseColWidth="10" defaultColWidth="8.83203125" defaultRowHeight="15" x14ac:dyDescent="0.2"/>
  <cols>
    <col min="1" max="3" width="12.5" customWidth="1"/>
    <col min="4" max="4" width="14.1640625" style="46" customWidth="1"/>
    <col min="5" max="5" width="17.5" customWidth="1"/>
    <col min="6" max="6" width="11.83203125" customWidth="1"/>
    <col min="7" max="7" width="24" customWidth="1"/>
    <col min="8" max="8" width="32.1640625" customWidth="1"/>
    <col min="9" max="9" width="53.1640625" customWidth="1"/>
    <col min="10" max="10" width="32.1640625" customWidth="1"/>
    <col min="11" max="11" width="69.5" customWidth="1"/>
    <col min="12" max="15" width="12.83203125" customWidth="1"/>
    <col min="16" max="17" width="9.33203125"/>
    <col min="18" max="18" width="9.33203125" customWidth="1"/>
    <col min="19" max="20" width="9.33203125"/>
    <col min="21" max="21" width="10.1640625" customWidth="1"/>
    <col min="22" max="22" width="10.83203125" customWidth="1"/>
    <col min="23" max="23" width="12.83203125" customWidth="1"/>
    <col min="24" max="24" width="14.83203125" customWidth="1"/>
    <col min="25" max="25" width="19.5" customWidth="1"/>
    <col min="26" max="26" width="10.33203125" customWidth="1"/>
  </cols>
  <sheetData>
    <row r="1" spans="1:26" x14ac:dyDescent="0.2">
      <c r="A1" s="22" t="s">
        <v>37</v>
      </c>
      <c r="B1" s="22" t="s">
        <v>38</v>
      </c>
      <c r="C1" s="22" t="s">
        <v>36</v>
      </c>
      <c r="D1" s="45" t="s">
        <v>39</v>
      </c>
      <c r="E1" s="36" t="s">
        <v>40</v>
      </c>
      <c r="F1" s="23" t="s">
        <v>41</v>
      </c>
      <c r="G1" s="24" t="s">
        <v>42</v>
      </c>
      <c r="H1" s="25" t="s">
        <v>43</v>
      </c>
      <c r="I1" s="22" t="s">
        <v>44</v>
      </c>
      <c r="J1" s="22" t="s">
        <v>45</v>
      </c>
      <c r="K1" s="22" t="s">
        <v>46</v>
      </c>
      <c r="L1" s="22" t="s">
        <v>34</v>
      </c>
      <c r="M1" s="22" t="s">
        <v>35</v>
      </c>
      <c r="N1" s="22" t="s">
        <v>47</v>
      </c>
      <c r="O1" s="22" t="s">
        <v>48</v>
      </c>
      <c r="P1" s="23" t="s">
        <v>49</v>
      </c>
      <c r="Q1" s="23" t="s">
        <v>50</v>
      </c>
      <c r="R1" s="23" t="s">
        <v>51</v>
      </c>
      <c r="S1" s="23" t="s">
        <v>52</v>
      </c>
      <c r="T1" s="23" t="s">
        <v>53</v>
      </c>
      <c r="U1" s="23" t="s">
        <v>54</v>
      </c>
      <c r="V1" s="22" t="s">
        <v>55</v>
      </c>
      <c r="W1" s="22" t="s">
        <v>56</v>
      </c>
      <c r="X1" s="22" t="s">
        <v>57</v>
      </c>
      <c r="Y1" s="26" t="s">
        <v>58</v>
      </c>
      <c r="Z1" s="22" t="s">
        <v>59</v>
      </c>
    </row>
    <row r="2" spans="1:26" x14ac:dyDescent="0.2">
      <c r="B2">
        <f>COC!A15</f>
        <v>1</v>
      </c>
      <c r="C2">
        <f>COC!N15</f>
        <v>1234</v>
      </c>
      <c r="D2" s="46">
        <f>IF(COC!C15="","",COC!C15)</f>
        <v>44361</v>
      </c>
      <c r="E2" s="44">
        <f>IF(COC!D15="","",COC!D15)</f>
        <v>0.58333333333333337</v>
      </c>
      <c r="G2" t="str">
        <f>IF(COC!I15="","",INDEX(COCDV[Facility],MATCH(COC!$I$6,COCDV[SAP Name],0)))</f>
        <v>Hospital</v>
      </c>
      <c r="H2" t="str">
        <f>IF(COC!I15="","",INDEX(COCDV[Address],MATCH(COC!$I$6,COCDV[SAP Name],0)))</f>
        <v>123 Excellent Way</v>
      </c>
      <c r="I2" t="str">
        <f>IF(COC!I15="","",COC!I15)</f>
        <v>Cooling Tower</v>
      </c>
      <c r="J2" t="e">
        <f ca="1">IF(COCRollupTbl[[#This Row],[COC Loc.]]="","",SplitString(COCRollupTbl[[#This Row],[COC Loc.]],2,", ")&amp;", "&amp;SplitString(COCRollupTbl[[#This Row],[COC Loc.]],3,", "))</f>
        <v>#VALUE!</v>
      </c>
      <c r="K2" t="str">
        <f>IF(COCRollupTbl[[#This Row],[COC Loc.]]="","",COCRollupTbl[[#This Row],[Source]]&amp;", "&amp;COCRollupTbl[[#This Row],[Type]]&amp;", "&amp;COCRollupTbl[[#This Row],[COC Loc.]])</f>
        <v>CW, Supply, Cooling Tower</v>
      </c>
      <c r="L2" t="str">
        <f>IF(COC!E15="","",COC!E15)</f>
        <v>CW</v>
      </c>
      <c r="M2" t="str">
        <f>IF(COC!H15="","",COC!H15)</f>
        <v>Supply</v>
      </c>
      <c r="N2" t="str">
        <f ca="1">IF(COCRollupTbl[[#This Row],[COC Loc.]]="","",SplitString(COCRollupTbl[[#This Row],[COC Loc.]],1,", "))</f>
        <v>Cooling Tower</v>
      </c>
      <c r="O2" t="e">
        <f ca="1">IF(COCRollupTbl[[#This Row],[COC Loc.]]="","",SplitString(COCRollupTbl[[#This Row],[COC Loc.]],2,", "))</f>
        <v>#VALUE!</v>
      </c>
      <c r="T2">
        <f>IF(COC!K15="","",COC!K15)</f>
        <v>78</v>
      </c>
      <c r="U2">
        <f>IF(COC!L15="","",COC!L15)</f>
        <v>0.04</v>
      </c>
      <c r="V2" t="str">
        <f>IF(COC!M15="","",COC!M15)</f>
        <v/>
      </c>
      <c r="X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" spans="1:26" x14ac:dyDescent="0.2">
      <c r="B3">
        <f>COC!A16</f>
        <v>2</v>
      </c>
      <c r="C3">
        <f>COC!N16</f>
        <v>1235</v>
      </c>
      <c r="D3" s="46">
        <f>IF(COC!C16="","",COC!C16)</f>
        <v>44361</v>
      </c>
      <c r="E3" s="44">
        <f>IF(COC!D16="","",COC!D16)</f>
        <v>0.58333333333333337</v>
      </c>
      <c r="G3" t="str">
        <f>IF(COC!I16="","",INDEX(COCDV[Facility],MATCH(COC!$I$6,COCDV[SAP Name],0)))</f>
        <v>Hospital</v>
      </c>
      <c r="H3" t="str">
        <f>IF(COC!I16="","",INDEX(COCDV[Address],MATCH(COC!$I$6,COCDV[SAP Name],0)))</f>
        <v>123 Excellent Way</v>
      </c>
      <c r="I3" t="str">
        <f>IF(COC!I16="","",COC!I16)</f>
        <v>Cooling Tower</v>
      </c>
      <c r="J3" t="e">
        <f ca="1">IF(COCRollupTbl[[#This Row],[COC Loc.]]="","",SplitString(COCRollupTbl[[#This Row],[COC Loc.]],2,", ")&amp;", "&amp;SplitString(COCRollupTbl[[#This Row],[COC Loc.]],3,", "))</f>
        <v>#VALUE!</v>
      </c>
      <c r="K3" t="str">
        <f>IF(COCRollupTbl[[#This Row],[COC Loc.]]="","",COCRollupTbl[[#This Row],[Source]]&amp;", "&amp;COCRollupTbl[[#This Row],[Type]]&amp;", "&amp;COCRollupTbl[[#This Row],[COC Loc.]])</f>
        <v>CW , CT, Cooling Tower</v>
      </c>
      <c r="L3" t="str">
        <f>IF(COC!E16="","",COC!E16)</f>
        <v xml:space="preserve">CW </v>
      </c>
      <c r="M3" t="str">
        <f>IF(COC!H16="","",COC!H16)</f>
        <v>CT</v>
      </c>
      <c r="N3" t="str">
        <f ca="1">IF(COCRollupTbl[[#This Row],[COC Loc.]]="","",SplitString(COCRollupTbl[[#This Row],[COC Loc.]],1,", "))</f>
        <v>Cooling Tower</v>
      </c>
      <c r="O3" t="e">
        <f ca="1">IF(COCRollupTbl[[#This Row],[COC Loc.]]="","",SplitString(COCRollupTbl[[#This Row],[COC Loc.]],2,", "))</f>
        <v>#VALUE!</v>
      </c>
      <c r="T3">
        <f>IF(COC!K16="","",COC!K16)</f>
        <v>79</v>
      </c>
      <c r="U3">
        <f>IF(COC!L16="","",COC!L16)</f>
        <v>1.2</v>
      </c>
      <c r="V3" t="str">
        <f>IF(COC!M16="","",COC!M16)</f>
        <v/>
      </c>
      <c r="X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" spans="1:26" x14ac:dyDescent="0.2">
      <c r="B4">
        <f>COC!A17</f>
        <v>3</v>
      </c>
      <c r="C4">
        <f>COC!N17</f>
        <v>1236</v>
      </c>
      <c r="D4" s="46">
        <f>IF(COC!C17="","",COC!C17)</f>
        <v>44361</v>
      </c>
      <c r="E4" s="44">
        <f>IF(COC!D17="","",COC!D17)</f>
        <v>0.58333333333333337</v>
      </c>
      <c r="G4" t="str">
        <f>IF(COC!I17="","",INDEX(COCDV[Facility],MATCH(COC!$I$6,COCDV[SAP Name],0)))</f>
        <v>Hospital</v>
      </c>
      <c r="H4" t="str">
        <f>IF(COC!I17="","",INDEX(COCDV[Address],MATCH(COC!$I$6,COCDV[SAP Name],0)))</f>
        <v>123 Excellent Way</v>
      </c>
      <c r="I4" t="str">
        <f>IF(COC!I17="","",COC!I17)</f>
        <v>W241</v>
      </c>
      <c r="J4" t="e">
        <f ca="1">IF(COCRollupTbl[[#This Row],[COC Loc.]]="","",SplitString(COCRollupTbl[[#This Row],[COC Loc.]],2,", ")&amp;", "&amp;SplitString(COCRollupTbl[[#This Row],[COC Loc.]],3,", "))</f>
        <v>#VALUE!</v>
      </c>
      <c r="K4" t="str">
        <f>IF(COCRollupTbl[[#This Row],[COC Loc.]]="","",COCRollupTbl[[#This Row],[Source]]&amp;", "&amp;COCRollupTbl[[#This Row],[Type]]&amp;", "&amp;COCRollupTbl[[#This Row],[COC Loc.]])</f>
        <v>PWC, SNK, W241</v>
      </c>
      <c r="L4" t="str">
        <f>IF(COC!E17="","",COC!E17)</f>
        <v>PWC</v>
      </c>
      <c r="M4" t="str">
        <f>IF(COC!H17="","",COC!H17)</f>
        <v>SNK</v>
      </c>
      <c r="N4" t="str">
        <f ca="1">IF(COCRollupTbl[[#This Row],[COC Loc.]]="","",SplitString(COCRollupTbl[[#This Row],[COC Loc.]],1,", "))</f>
        <v>W241</v>
      </c>
      <c r="O4" t="e">
        <f ca="1">IF(COCRollupTbl[[#This Row],[COC Loc.]]="","",SplitString(COCRollupTbl[[#This Row],[COC Loc.]],2,", "))</f>
        <v>#VALUE!</v>
      </c>
      <c r="T4">
        <f>IF(COC!K17="","",COC!K17)</f>
        <v>72</v>
      </c>
      <c r="U4" t="str">
        <f>IF(COC!L17="","",COC!L17)</f>
        <v/>
      </c>
      <c r="V4">
        <f>IF(COC!M17="","",COC!M17)</f>
        <v>0.8</v>
      </c>
      <c r="X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" spans="1:26" x14ac:dyDescent="0.2">
      <c r="B5">
        <f>COC!A18</f>
        <v>4</v>
      </c>
      <c r="C5">
        <f>COC!N18</f>
        <v>1237</v>
      </c>
      <c r="D5" s="46">
        <f>IF(COC!C18="","",COC!C18)</f>
        <v>44361</v>
      </c>
      <c r="E5" s="44">
        <f>IF(COC!D18="","",COC!D18)</f>
        <v>0.58333333333333337</v>
      </c>
      <c r="G5" t="str">
        <f>IF(COC!I18="","",INDEX(COCDV[Facility],MATCH(COC!$I$6,COCDV[SAP Name],0)))</f>
        <v>Hospital</v>
      </c>
      <c r="H5" t="str">
        <f>IF(COC!I18="","",INDEX(COCDV[Address],MATCH(COC!$I$6,COCDV[SAP Name],0)))</f>
        <v>123 Excellent Way</v>
      </c>
      <c r="I5" t="str">
        <f>IF(COC!I18="","",COC!I18)</f>
        <v>CCU ROOM 1</v>
      </c>
      <c r="J5" t="e">
        <f ca="1">IF(COCRollupTbl[[#This Row],[COC Loc.]]="","",SplitString(COCRollupTbl[[#This Row],[COC Loc.]],2,", ")&amp;", "&amp;SplitString(COCRollupTbl[[#This Row],[COC Loc.]],3,", "))</f>
        <v>#VALUE!</v>
      </c>
      <c r="K5" t="str">
        <f>IF(COCRollupTbl[[#This Row],[COC Loc.]]="","",COCRollupTbl[[#This Row],[Source]]&amp;", "&amp;COCRollupTbl[[#This Row],[Type]]&amp;", "&amp;COCRollupTbl[[#This Row],[COC Loc.]])</f>
        <v>PWC, SNK, CCU ROOM 1</v>
      </c>
      <c r="L5" t="str">
        <f>IF(COC!E18="","",COC!E18)</f>
        <v>PWC</v>
      </c>
      <c r="M5" t="str">
        <f>IF(COC!H18="","",COC!H18)</f>
        <v>SNK</v>
      </c>
      <c r="N5" t="str">
        <f ca="1">IF(COCRollupTbl[[#This Row],[COC Loc.]]="","",SplitString(COCRollupTbl[[#This Row],[COC Loc.]],1,", "))</f>
        <v>CCU ROOM 1</v>
      </c>
      <c r="O5" t="e">
        <f ca="1">IF(COCRollupTbl[[#This Row],[COC Loc.]]="","",SplitString(COCRollupTbl[[#This Row],[COC Loc.]],2,", "))</f>
        <v>#VALUE!</v>
      </c>
      <c r="T5">
        <f>IF(COC!K18="","",COC!K18)</f>
        <v>69</v>
      </c>
      <c r="U5" t="str">
        <f>IF(COC!L18="","",COC!L18)</f>
        <v/>
      </c>
      <c r="V5">
        <f>IF(COC!M18="","",COC!M18)</f>
        <v>1.4</v>
      </c>
      <c r="X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" spans="1:26" x14ac:dyDescent="0.2">
      <c r="B6">
        <f>COC!A19</f>
        <v>5</v>
      </c>
      <c r="C6">
        <f>COC!N19</f>
        <v>1238</v>
      </c>
      <c r="D6" s="46">
        <f>IF(COC!C19="","",COC!C19)</f>
        <v>44361</v>
      </c>
      <c r="E6" s="44">
        <f>IF(COC!D19="","",COC!D19)</f>
        <v>0.58333333333333337</v>
      </c>
      <c r="G6" t="str">
        <f>IF(COC!I19="","",INDEX(COCDV[Facility],MATCH(COC!$I$6,COCDV[SAP Name],0)))</f>
        <v>Hospital</v>
      </c>
      <c r="H6" t="str">
        <f>IF(COC!I19="","",INDEX(COCDV[Address],MATCH(COC!$I$6,COCDV[SAP Name],0)))</f>
        <v>123 Excellent Way</v>
      </c>
      <c r="I6">
        <f>IF(COC!I19="","",COC!I19)</f>
        <v>254</v>
      </c>
      <c r="J6" t="e">
        <f ca="1">IF(COCRollupTbl[[#This Row],[COC Loc.]]="","",SplitString(COCRollupTbl[[#This Row],[COC Loc.]],2,", ")&amp;", "&amp;SplitString(COCRollupTbl[[#This Row],[COC Loc.]],3,", "))</f>
        <v>#VALUE!</v>
      </c>
      <c r="K6" t="str">
        <f>IF(COCRollupTbl[[#This Row],[COC Loc.]]="","",COCRollupTbl[[#This Row],[Source]]&amp;", "&amp;COCRollupTbl[[#This Row],[Type]]&amp;", "&amp;COCRollupTbl[[#This Row],[COC Loc.]])</f>
        <v>PWC, SNK, 254</v>
      </c>
      <c r="L6" t="str">
        <f>IF(COC!E19="","",COC!E19)</f>
        <v>PWC</v>
      </c>
      <c r="M6" t="str">
        <f>IF(COC!H19="","",COC!H19)</f>
        <v>SNK</v>
      </c>
      <c r="N6" t="str">
        <f ca="1">IF(COCRollupTbl[[#This Row],[COC Loc.]]="","",SplitString(COCRollupTbl[[#This Row],[COC Loc.]],1,", "))</f>
        <v>254</v>
      </c>
      <c r="O6" t="e">
        <f ca="1">IF(COCRollupTbl[[#This Row],[COC Loc.]]="","",SplitString(COCRollupTbl[[#This Row],[COC Loc.]],2,", "))</f>
        <v>#VALUE!</v>
      </c>
      <c r="T6">
        <f>IF(COC!K19="","",COC!K19)</f>
        <v>70</v>
      </c>
      <c r="U6" t="str">
        <f>IF(COC!L19="","",COC!L19)</f>
        <v/>
      </c>
      <c r="V6">
        <f>IF(COC!M19="","",COC!M19)</f>
        <v>1.2</v>
      </c>
      <c r="X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" spans="1:26" x14ac:dyDescent="0.2">
      <c r="B7">
        <f>COC!A20</f>
        <v>6</v>
      </c>
      <c r="C7">
        <f>COC!N20</f>
        <v>1239</v>
      </c>
      <c r="D7" s="46">
        <f>IF(COC!C20="","",COC!C20)</f>
        <v>44361</v>
      </c>
      <c r="E7" s="44">
        <f>IF(COC!D20="","",COC!D20)</f>
        <v>0.58333333333333337</v>
      </c>
      <c r="G7" t="str">
        <f>IF(COC!I20="","",INDEX(COCDV[Facility],MATCH(COC!$I$6,COCDV[SAP Name],0)))</f>
        <v>Hospital</v>
      </c>
      <c r="H7" t="str">
        <f>IF(COC!I20="","",INDEX(COCDV[Address],MATCH(COC!$I$6,COCDV[SAP Name],0)))</f>
        <v>123 Excellent Way</v>
      </c>
      <c r="I7">
        <f>IF(COC!I20="","",COC!I20)</f>
        <v>254</v>
      </c>
      <c r="J7" t="e">
        <f ca="1">IF(COCRollupTbl[[#This Row],[COC Loc.]]="","",SplitString(COCRollupTbl[[#This Row],[COC Loc.]],2,", ")&amp;", "&amp;SplitString(COCRollupTbl[[#This Row],[COC Loc.]],3,", "))</f>
        <v>#VALUE!</v>
      </c>
      <c r="K7" t="str">
        <f>IF(COCRollupTbl[[#This Row],[COC Loc.]]="","",COCRollupTbl[[#This Row],[Source]]&amp;", "&amp;COCRollupTbl[[#This Row],[Type]]&amp;", "&amp;COCRollupTbl[[#This Row],[COC Loc.]])</f>
        <v>PWH, SNK, 254</v>
      </c>
      <c r="L7" t="str">
        <f>IF(COC!E20="","",COC!E20)</f>
        <v>PWH</v>
      </c>
      <c r="M7" t="str">
        <f>IF(COC!H20="","",COC!H20)</f>
        <v>SNK</v>
      </c>
      <c r="N7" t="str">
        <f ca="1">IF(COCRollupTbl[[#This Row],[COC Loc.]]="","",SplitString(COCRollupTbl[[#This Row],[COC Loc.]],1,", "))</f>
        <v>254</v>
      </c>
      <c r="O7" t="e">
        <f ca="1">IF(COCRollupTbl[[#This Row],[COC Loc.]]="","",SplitString(COCRollupTbl[[#This Row],[COC Loc.]],2,", "))</f>
        <v>#VALUE!</v>
      </c>
      <c r="T7">
        <f>IF(COC!K20="","",COC!K20)</f>
        <v>114</v>
      </c>
      <c r="U7" t="str">
        <f>IF(COC!L20="","",COC!L20)</f>
        <v/>
      </c>
      <c r="V7">
        <f>IF(COC!M20="","",COC!M20)</f>
        <v>0.2</v>
      </c>
      <c r="X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" spans="1:26" x14ac:dyDescent="0.2">
      <c r="B8">
        <f>COC!A21</f>
        <v>7</v>
      </c>
      <c r="C8">
        <f>COC!N21</f>
        <v>1240</v>
      </c>
      <c r="D8" s="46">
        <f>IF(COC!C21="","",COC!C21)</f>
        <v>44361</v>
      </c>
      <c r="E8" s="44">
        <f>IF(COC!D21="","",COC!D21)</f>
        <v>0.58333333333333337</v>
      </c>
      <c r="G8" t="str">
        <f>IF(COC!I21="","",INDEX(COCDV[Facility],MATCH(COC!$I$6,COCDV[SAP Name],0)))</f>
        <v>Hospital</v>
      </c>
      <c r="H8" t="str">
        <f>IF(COC!I21="","",INDEX(COCDV[Address],MATCH(COC!$I$6,COCDV[SAP Name],0)))</f>
        <v>123 Excellent Way</v>
      </c>
      <c r="I8">
        <f>IF(COC!I21="","",COC!I21)</f>
        <v>259</v>
      </c>
      <c r="J8" t="e">
        <f ca="1">IF(COCRollupTbl[[#This Row],[COC Loc.]]="","",SplitString(COCRollupTbl[[#This Row],[COC Loc.]],2,", ")&amp;", "&amp;SplitString(COCRollupTbl[[#This Row],[COC Loc.]],3,", "))</f>
        <v>#VALUE!</v>
      </c>
      <c r="K8" t="str">
        <f>IF(COCRollupTbl[[#This Row],[COC Loc.]]="","",COCRollupTbl[[#This Row],[Source]]&amp;", "&amp;COCRollupTbl[[#This Row],[Type]]&amp;", "&amp;COCRollupTbl[[#This Row],[COC Loc.]])</f>
        <v>PWH, SNK, 259</v>
      </c>
      <c r="L8" t="str">
        <f>IF(COC!E21="","",COC!E21)</f>
        <v>PWH</v>
      </c>
      <c r="M8" t="str">
        <f>IF(COC!H21="","",COC!H21)</f>
        <v>SNK</v>
      </c>
      <c r="N8" t="str">
        <f ca="1">IF(COCRollupTbl[[#This Row],[COC Loc.]]="","",SplitString(COCRollupTbl[[#This Row],[COC Loc.]],1,", "))</f>
        <v>259</v>
      </c>
      <c r="O8" t="e">
        <f ca="1">IF(COCRollupTbl[[#This Row],[COC Loc.]]="","",SplitString(COCRollupTbl[[#This Row],[COC Loc.]],2,", "))</f>
        <v>#VALUE!</v>
      </c>
      <c r="T8">
        <f>IF(COC!K21="","",COC!K21)</f>
        <v>116</v>
      </c>
      <c r="U8" t="str">
        <f>IF(COC!L21="","",COC!L21)</f>
        <v/>
      </c>
      <c r="V8">
        <f>IF(COC!M21="","",COC!M21)</f>
        <v>0.4</v>
      </c>
      <c r="X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" spans="1:26" x14ac:dyDescent="0.2">
      <c r="B9">
        <f>COC!A22</f>
        <v>8</v>
      </c>
      <c r="C9">
        <f>COC!N22</f>
        <v>1241</v>
      </c>
      <c r="D9" s="46">
        <f>IF(COC!C22="","",COC!C22)</f>
        <v>44361</v>
      </c>
      <c r="E9" s="44">
        <f>IF(COC!D22="","",COC!D22)</f>
        <v>0.58333333333333337</v>
      </c>
      <c r="G9" t="str">
        <f>IF(COC!I22="","",INDEX(COCDV[Facility],MATCH(COC!$I$6,COCDV[SAP Name],0)))</f>
        <v>Hospital</v>
      </c>
      <c r="H9" t="str">
        <f>IF(COC!I22="","",INDEX(COCDV[Address],MATCH(COC!$I$6,COCDV[SAP Name],0)))</f>
        <v>123 Excellent Way</v>
      </c>
      <c r="I9" t="str">
        <f>IF(COC!I22="","",COC!I22)</f>
        <v>CCU ROOM 1</v>
      </c>
      <c r="J9" t="e">
        <f ca="1">IF(COCRollupTbl[[#This Row],[COC Loc.]]="","",SplitString(COCRollupTbl[[#This Row],[COC Loc.]],2,", ")&amp;", "&amp;SplitString(COCRollupTbl[[#This Row],[COC Loc.]],3,", "))</f>
        <v>#VALUE!</v>
      </c>
      <c r="K9" t="str">
        <f>IF(COCRollupTbl[[#This Row],[COC Loc.]]="","",COCRollupTbl[[#This Row],[Source]]&amp;", "&amp;COCRollupTbl[[#This Row],[Type]]&amp;", "&amp;COCRollupTbl[[#This Row],[COC Loc.]])</f>
        <v>PWH, SNK, CCU ROOM 1</v>
      </c>
      <c r="L9" t="str">
        <f>IF(COC!E22="","",COC!E22)</f>
        <v>PWH</v>
      </c>
      <c r="M9" t="str">
        <f>IF(COC!H22="","",COC!H22)</f>
        <v>SNK</v>
      </c>
      <c r="N9" t="str">
        <f ca="1">IF(COCRollupTbl[[#This Row],[COC Loc.]]="","",SplitString(COCRollupTbl[[#This Row],[COC Loc.]],1,", "))</f>
        <v>CCU ROOM 1</v>
      </c>
      <c r="O9" t="e">
        <f ca="1">IF(COCRollupTbl[[#This Row],[COC Loc.]]="","",SplitString(COCRollupTbl[[#This Row],[COC Loc.]],2,", "))</f>
        <v>#VALUE!</v>
      </c>
      <c r="T9">
        <f>IF(COC!K22="","",COC!K22)</f>
        <v>118</v>
      </c>
      <c r="U9" t="str">
        <f>IF(COC!L22="","",COC!L22)</f>
        <v/>
      </c>
      <c r="V9">
        <f>IF(COC!M22="","",COC!M22)</f>
        <v>0.3</v>
      </c>
      <c r="X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" spans="1:26" x14ac:dyDescent="0.2">
      <c r="B10">
        <f>COC!A23</f>
        <v>9</v>
      </c>
      <c r="C10">
        <f>COC!N23</f>
        <v>1242</v>
      </c>
      <c r="D10" s="46">
        <f>IF(COC!C23="","",COC!C23)</f>
        <v>44361</v>
      </c>
      <c r="E10" s="44">
        <f>IF(COC!D23="","",COC!D23)</f>
        <v>0.58333333333333337</v>
      </c>
      <c r="G10" t="str">
        <f>IF(COC!I23="","",INDEX(COCDV[Facility],MATCH(COC!$I$6,COCDV[SAP Name],0)))</f>
        <v>Hospital</v>
      </c>
      <c r="H10" t="str">
        <f>IF(COC!I23="","",INDEX(COCDV[Address],MATCH(COC!$I$6,COCDV[SAP Name],0)))</f>
        <v>123 Excellent Way</v>
      </c>
      <c r="I10" t="str">
        <f>IF(COC!I23="","",COC!I23)</f>
        <v>2W241</v>
      </c>
      <c r="J10" t="e">
        <f ca="1">IF(COCRollupTbl[[#This Row],[COC Loc.]]="","",SplitString(COCRollupTbl[[#This Row],[COC Loc.]],2,", ")&amp;", "&amp;SplitString(COCRollupTbl[[#This Row],[COC Loc.]],3,", "))</f>
        <v>#VALUE!</v>
      </c>
      <c r="K10" t="str">
        <f>IF(COCRollupTbl[[#This Row],[COC Loc.]]="","",COCRollupTbl[[#This Row],[Source]]&amp;", "&amp;COCRollupTbl[[#This Row],[Type]]&amp;", "&amp;COCRollupTbl[[#This Row],[COC Loc.]])</f>
        <v>PWH, SNK, 2W241</v>
      </c>
      <c r="L10" t="str">
        <f>IF(COC!E23="","",COC!E23)</f>
        <v>PWH</v>
      </c>
      <c r="M10" t="str">
        <f>IF(COC!H23="","",COC!H23)</f>
        <v>SNK</v>
      </c>
      <c r="N10" t="str">
        <f ca="1">IF(COCRollupTbl[[#This Row],[COC Loc.]]="","",SplitString(COCRollupTbl[[#This Row],[COC Loc.]],1,", "))</f>
        <v>2W241</v>
      </c>
      <c r="O10" t="e">
        <f ca="1">IF(COCRollupTbl[[#This Row],[COC Loc.]]="","",SplitString(COCRollupTbl[[#This Row],[COC Loc.]],2,", "))</f>
        <v>#VALUE!</v>
      </c>
      <c r="T10">
        <f>IF(COC!K23="","",COC!K23)</f>
        <v>108</v>
      </c>
      <c r="U10" t="str">
        <f>IF(COC!L23="","",COC!L23)</f>
        <v/>
      </c>
      <c r="V10">
        <f>IF(COC!M23="","",COC!M23)</f>
        <v>0.08</v>
      </c>
      <c r="X1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" spans="1:26" x14ac:dyDescent="0.2">
      <c r="B11">
        <f>COC!A24</f>
        <v>10</v>
      </c>
      <c r="C11">
        <f>COC!N24</f>
        <v>1243</v>
      </c>
      <c r="D11" s="46">
        <f>IF(COC!C24="","",COC!C24)</f>
        <v>44361</v>
      </c>
      <c r="E11" s="44">
        <f>IF(COC!D24="","",COC!D24)</f>
        <v>0.58333333333333337</v>
      </c>
      <c r="G11" t="str">
        <f>IF(COC!I24="","",INDEX(COCDV[Facility],MATCH(COC!$I$6,COCDV[SAP Name],0)))</f>
        <v>Hospital</v>
      </c>
      <c r="H11" t="str">
        <f>IF(COC!I24="","",INDEX(COCDV[Address],MATCH(COC!$I$6,COCDV[SAP Name],0)))</f>
        <v>123 Excellent Way</v>
      </c>
      <c r="I11" t="str">
        <f>IF(COC!I24="","",COC!I24)</f>
        <v>2W NURSE PANTRY ACROSS FROM 234</v>
      </c>
      <c r="J11" t="e">
        <f ca="1">IF(COCRollupTbl[[#This Row],[COC Loc.]]="","",SplitString(COCRollupTbl[[#This Row],[COC Loc.]],2,", ")&amp;", "&amp;SplitString(COCRollupTbl[[#This Row],[COC Loc.]],3,", "))</f>
        <v>#VALUE!</v>
      </c>
      <c r="K11" t="str">
        <f>IF(COCRollupTbl[[#This Row],[COC Loc.]]="","",COCRollupTbl[[#This Row],[Source]]&amp;", "&amp;COCRollupTbl[[#This Row],[Type]]&amp;", "&amp;COCRollupTbl[[#This Row],[COC Loc.]])</f>
        <v>PWH, SNK, 2W NURSE PANTRY ACROSS FROM 234</v>
      </c>
      <c r="L11" t="str">
        <f>IF(COC!E24="","",COC!E24)</f>
        <v>PWH</v>
      </c>
      <c r="M11" t="str">
        <f>IF(COC!H24="","",COC!H24)</f>
        <v>SNK</v>
      </c>
      <c r="N11" t="str">
        <f ca="1">IF(COCRollupTbl[[#This Row],[COC Loc.]]="","",SplitString(COCRollupTbl[[#This Row],[COC Loc.]],1,", "))</f>
        <v>2W NURSE PANTRY ACROSS FROM 234</v>
      </c>
      <c r="O11" t="e">
        <f ca="1">IF(COCRollupTbl[[#This Row],[COC Loc.]]="","",SplitString(COCRollupTbl[[#This Row],[COC Loc.]],2,", "))</f>
        <v>#VALUE!</v>
      </c>
      <c r="T11">
        <f>IF(COC!K24="","",COC!K24)</f>
        <v>117</v>
      </c>
      <c r="U11" t="str">
        <f>IF(COC!L24="","",COC!L24)</f>
        <v/>
      </c>
      <c r="V11">
        <f>IF(COC!M24="","",COC!M24)</f>
        <v>0.6</v>
      </c>
      <c r="X1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2" spans="1:26" x14ac:dyDescent="0.2">
      <c r="B12">
        <f>COC!A25</f>
        <v>11</v>
      </c>
      <c r="C12">
        <f>COC!N25</f>
        <v>1244</v>
      </c>
      <c r="D12" s="46">
        <f>IF(COC!C25="","",COC!C25)</f>
        <v>44361</v>
      </c>
      <c r="E12" s="44">
        <f>IF(COC!D25="","",COC!D25)</f>
        <v>0.58333333333333337</v>
      </c>
      <c r="G12" t="str">
        <f>IF(COC!I25="","",INDEX(COCDV[Facility],MATCH(COC!$I$6,COCDV[SAP Name],0)))</f>
        <v>Hospital</v>
      </c>
      <c r="H12" t="str">
        <f>IF(COC!I25="","",INDEX(COCDV[Address],MATCH(COC!$I$6,COCDV[SAP Name],0)))</f>
        <v>123 Excellent Way</v>
      </c>
      <c r="I12" t="str">
        <f>IF(COC!I25="","",COC!I25)</f>
        <v>E202</v>
      </c>
      <c r="J12" t="e">
        <f ca="1">IF(COCRollupTbl[[#This Row],[COC Loc.]]="","",SplitString(COCRollupTbl[[#This Row],[COC Loc.]],2,", ")&amp;", "&amp;SplitString(COCRollupTbl[[#This Row],[COC Loc.]],3,", "))</f>
        <v>#VALUE!</v>
      </c>
      <c r="K12" t="str">
        <f>IF(COCRollupTbl[[#This Row],[COC Loc.]]="","",COCRollupTbl[[#This Row],[Source]]&amp;", "&amp;COCRollupTbl[[#This Row],[Type]]&amp;", "&amp;COCRollupTbl[[#This Row],[COC Loc.]])</f>
        <v>PWH, SNK, E202</v>
      </c>
      <c r="L12" t="str">
        <f>IF(COC!E25="","",COC!E25)</f>
        <v>PWH</v>
      </c>
      <c r="M12" t="str">
        <f>IF(COC!H25="","",COC!H25)</f>
        <v>SNK</v>
      </c>
      <c r="N12" t="str">
        <f ca="1">IF(COCRollupTbl[[#This Row],[COC Loc.]]="","",SplitString(COCRollupTbl[[#This Row],[COC Loc.]],1,", "))</f>
        <v>E202</v>
      </c>
      <c r="O12" t="e">
        <f ca="1">IF(COCRollupTbl[[#This Row],[COC Loc.]]="","",SplitString(COCRollupTbl[[#This Row],[COC Loc.]],2,", "))</f>
        <v>#VALUE!</v>
      </c>
      <c r="T12">
        <f>IF(COC!K25="","",COC!K25)</f>
        <v>116</v>
      </c>
      <c r="U12" t="str">
        <f>IF(COC!L25="","",COC!L25)</f>
        <v/>
      </c>
      <c r="V12">
        <f>IF(COC!M25="","",COC!M25)</f>
        <v>0.3</v>
      </c>
      <c r="X1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3" spans="1:26" x14ac:dyDescent="0.2">
      <c r="B13">
        <f>COC!A26</f>
        <v>12</v>
      </c>
      <c r="C13">
        <f>COC!N26</f>
        <v>1245</v>
      </c>
      <c r="D13" s="46">
        <f>IF(COC!C26="","",COC!C26)</f>
        <v>44361</v>
      </c>
      <c r="E13" s="44">
        <f>IF(COC!D26="","",COC!D26)</f>
        <v>0.58333333333333337</v>
      </c>
      <c r="G13" t="str">
        <f>IF(COC!I26="","",INDEX(COCDV[Facility],MATCH(COC!$I$6,COCDV[SAP Name],0)))</f>
        <v>Hospital</v>
      </c>
      <c r="H13" t="str">
        <f>IF(COC!I26="","",INDEX(COCDV[Address],MATCH(COC!$I$6,COCDV[SAP Name],0)))</f>
        <v>123 Excellent Way</v>
      </c>
      <c r="I13" t="str">
        <f>IF(COC!I26="","",COC!I26)</f>
        <v>ICE IM07 2W NURSE PANTRY ACROSS FROM 234</v>
      </c>
      <c r="J13" t="e">
        <f ca="1">IF(COCRollupTbl[[#This Row],[COC Loc.]]="","",SplitString(COCRollupTbl[[#This Row],[COC Loc.]],2,", ")&amp;", "&amp;SplitString(COCRollupTbl[[#This Row],[COC Loc.]],3,", "))</f>
        <v>#VALUE!</v>
      </c>
      <c r="K13" t="str">
        <f>IF(COCRollupTbl[[#This Row],[COC Loc.]]="","",COCRollupTbl[[#This Row],[Source]]&amp;", "&amp;COCRollupTbl[[#This Row],[Type]]&amp;", "&amp;COCRollupTbl[[#This Row],[COC Loc.]])</f>
        <v>IC, IM, ICE IM07 2W NURSE PANTRY ACROSS FROM 234</v>
      </c>
      <c r="L13" t="str">
        <f>IF(COC!E26="","",COC!E26)</f>
        <v>IC</v>
      </c>
      <c r="M13" t="str">
        <f>IF(COC!H26="","",COC!H26)</f>
        <v>IM</v>
      </c>
      <c r="N13" t="str">
        <f ca="1">IF(COCRollupTbl[[#This Row],[COC Loc.]]="","",SplitString(COCRollupTbl[[#This Row],[COC Loc.]],1,", "))</f>
        <v>ICE IM07 2W NURSE PANTRY ACROSS FROM 234</v>
      </c>
      <c r="O13" t="e">
        <f ca="1">IF(COCRollupTbl[[#This Row],[COC Loc.]]="","",SplitString(COCRollupTbl[[#This Row],[COC Loc.]],2,", "))</f>
        <v>#VALUE!</v>
      </c>
      <c r="T13" t="str">
        <f>IF(COC!K26="","",COC!K26)</f>
        <v/>
      </c>
      <c r="U13" t="str">
        <f>IF(COC!L26="","",COC!L26)</f>
        <v/>
      </c>
      <c r="V13" t="str">
        <f>IF(COC!M26="","",COC!M26)</f>
        <v/>
      </c>
      <c r="X1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4" spans="1:26" x14ac:dyDescent="0.2">
      <c r="B14">
        <f>COC!A27</f>
        <v>13</v>
      </c>
      <c r="C14" t="str">
        <f>COC!O27</f>
        <v/>
      </c>
      <c r="D14" s="46" t="str">
        <f>IF(COC!C27="","",COC!C27)</f>
        <v/>
      </c>
      <c r="E14" s="44" t="str">
        <f>IF(COC!D27="","",COC!D27)</f>
        <v/>
      </c>
      <c r="G14" t="str">
        <f>IF(COC!I27="","",INDEX(COCDV[Facility],MATCH(COC!$I$6,COCDV[SAP Name],0)))</f>
        <v/>
      </c>
      <c r="H14" t="str">
        <f>IF(COC!I27="","",INDEX(COCDV[Address],MATCH(COC!$I$6,COCDV[SAP Name],0)))</f>
        <v/>
      </c>
      <c r="I14" t="str">
        <f>IF(COC!I27="","",COC!I27)</f>
        <v/>
      </c>
      <c r="J14" t="str">
        <f>IF(COCRollupTbl[[#This Row],[COC Loc.]]="","",SplitString(COCRollupTbl[[#This Row],[COC Loc.]],2,", ")&amp;", "&amp;SplitString(COCRollupTbl[[#This Row],[COC Loc.]],3,", "))</f>
        <v/>
      </c>
      <c r="K14" t="str">
        <f>IF(COCRollupTbl[[#This Row],[COC Loc.]]="","",COCRollupTbl[[#This Row],[Source]]&amp;", "&amp;COCRollupTbl[[#This Row],[Type]]&amp;", "&amp;COCRollupTbl[[#This Row],[COC Loc.]])</f>
        <v/>
      </c>
      <c r="L14" t="str">
        <f>IF(COC!E27="","",COC!E27)</f>
        <v/>
      </c>
      <c r="M14" t="str">
        <f>IF(COC!H27="","",COC!H27)</f>
        <v/>
      </c>
      <c r="N14" t="str">
        <f>IF(COCRollupTbl[[#This Row],[COC Loc.]]="","",SplitString(COCRollupTbl[[#This Row],[COC Loc.]],1,", "))</f>
        <v/>
      </c>
      <c r="O14" t="str">
        <f>IF(COCRollupTbl[[#This Row],[COC Loc.]]="","",SplitString(COCRollupTbl[[#This Row],[COC Loc.]],2,", "))</f>
        <v/>
      </c>
      <c r="T14" t="str">
        <f>IF(COC!K27="","",COC!K27)</f>
        <v/>
      </c>
      <c r="U14" t="str">
        <f>IF(COC!L27="","",COC!L27)</f>
        <v/>
      </c>
      <c r="V14" t="str">
        <f>IF(COC!M27="","",COC!M27)</f>
        <v/>
      </c>
      <c r="X1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5" spans="1:26" x14ac:dyDescent="0.2">
      <c r="B15">
        <f>COC!A28</f>
        <v>14</v>
      </c>
      <c r="C15" t="str">
        <f>COC!O28</f>
        <v/>
      </c>
      <c r="D15" s="46" t="str">
        <f>IF(COC!C28="","",COC!C28)</f>
        <v/>
      </c>
      <c r="E15" s="44" t="str">
        <f>IF(COC!D28="","",COC!D28)</f>
        <v/>
      </c>
      <c r="G15" t="str">
        <f>IF(COC!I28="","",INDEX(COCDV[Facility],MATCH(COC!$I$6,COCDV[SAP Name],0)))</f>
        <v/>
      </c>
      <c r="H15" t="str">
        <f>IF(COC!I28="","",INDEX(COCDV[Address],MATCH(COC!$I$6,COCDV[SAP Name],0)))</f>
        <v/>
      </c>
      <c r="I15" t="str">
        <f>IF(COC!I28="","",COC!I28)</f>
        <v/>
      </c>
      <c r="J15" t="str">
        <f>IF(COCRollupTbl[[#This Row],[COC Loc.]]="","",SplitString(COCRollupTbl[[#This Row],[COC Loc.]],2,", ")&amp;", "&amp;SplitString(COCRollupTbl[[#This Row],[COC Loc.]],3,", "))</f>
        <v/>
      </c>
      <c r="K15" t="str">
        <f>IF(COCRollupTbl[[#This Row],[COC Loc.]]="","",COCRollupTbl[[#This Row],[Source]]&amp;", "&amp;COCRollupTbl[[#This Row],[Type]]&amp;", "&amp;COCRollupTbl[[#This Row],[COC Loc.]])</f>
        <v/>
      </c>
      <c r="L15" t="str">
        <f>IF(COC!E28="","",COC!E28)</f>
        <v/>
      </c>
      <c r="M15" t="str">
        <f>IF(COC!H28="","",COC!H28)</f>
        <v/>
      </c>
      <c r="N15" t="str">
        <f>IF(COCRollupTbl[[#This Row],[COC Loc.]]="","",SplitString(COCRollupTbl[[#This Row],[COC Loc.]],1,", "))</f>
        <v/>
      </c>
      <c r="O15" t="str">
        <f>IF(COCRollupTbl[[#This Row],[COC Loc.]]="","",SplitString(COCRollupTbl[[#This Row],[COC Loc.]],2,", "))</f>
        <v/>
      </c>
      <c r="T15" t="str">
        <f>IF(COC!K28="","",COC!K28)</f>
        <v/>
      </c>
      <c r="U15" t="str">
        <f>IF(COC!L28="","",COC!L28)</f>
        <v/>
      </c>
      <c r="V15" t="str">
        <f>IF(COC!M28="","",COC!M28)</f>
        <v/>
      </c>
      <c r="X1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6" spans="1:26" x14ac:dyDescent="0.2">
      <c r="B16">
        <f>COC!A29</f>
        <v>15</v>
      </c>
      <c r="C16" t="str">
        <f>COC!O29</f>
        <v/>
      </c>
      <c r="D16" s="46" t="str">
        <f>IF(COC!C29="","",COC!C29)</f>
        <v/>
      </c>
      <c r="E16" s="44" t="str">
        <f>IF(COC!D29="","",COC!D29)</f>
        <v/>
      </c>
      <c r="G16" t="str">
        <f>IF(COC!I29="","",INDEX(COCDV[Facility],MATCH(COC!$I$6,COCDV[SAP Name],0)))</f>
        <v/>
      </c>
      <c r="H16" t="str">
        <f>IF(COC!I29="","",INDEX(COCDV[Address],MATCH(COC!$I$6,COCDV[SAP Name],0)))</f>
        <v/>
      </c>
      <c r="I16" t="str">
        <f>IF(COC!I29="","",COC!I29)</f>
        <v/>
      </c>
      <c r="J16" t="str">
        <f>IF(COCRollupTbl[[#This Row],[COC Loc.]]="","",SplitString(COCRollupTbl[[#This Row],[COC Loc.]],2,", ")&amp;", "&amp;SplitString(COCRollupTbl[[#This Row],[COC Loc.]],3,", "))</f>
        <v/>
      </c>
      <c r="K16" t="str">
        <f>IF(COCRollupTbl[[#This Row],[COC Loc.]]="","",COCRollupTbl[[#This Row],[Source]]&amp;", "&amp;COCRollupTbl[[#This Row],[Type]]&amp;", "&amp;COCRollupTbl[[#This Row],[COC Loc.]])</f>
        <v/>
      </c>
      <c r="L16" t="str">
        <f>IF(COC!E29="","",COC!E29)</f>
        <v/>
      </c>
      <c r="M16" t="str">
        <f>IF(COC!H29="","",COC!H29)</f>
        <v/>
      </c>
      <c r="N16" t="str">
        <f>IF(COCRollupTbl[[#This Row],[COC Loc.]]="","",SplitString(COCRollupTbl[[#This Row],[COC Loc.]],1,", "))</f>
        <v/>
      </c>
      <c r="O16" t="str">
        <f>IF(COCRollupTbl[[#This Row],[COC Loc.]]="","",SplitString(COCRollupTbl[[#This Row],[COC Loc.]],2,", "))</f>
        <v/>
      </c>
      <c r="T16" t="str">
        <f>IF(COC!K29="","",COC!K29)</f>
        <v/>
      </c>
      <c r="U16" t="str">
        <f>IF(COC!L29="","",COC!L29)</f>
        <v/>
      </c>
      <c r="V16" t="str">
        <f>IF(COC!M29="","",COC!M29)</f>
        <v/>
      </c>
      <c r="X1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7" spans="2:25" x14ac:dyDescent="0.2">
      <c r="B17">
        <f>COC!A30</f>
        <v>16</v>
      </c>
      <c r="C17" t="str">
        <f>COC!O30</f>
        <v/>
      </c>
      <c r="D17" s="46" t="str">
        <f>IF(COC!C30="","",COC!C30)</f>
        <v/>
      </c>
      <c r="E17" s="44" t="str">
        <f>IF(COC!D30="","",COC!D30)</f>
        <v/>
      </c>
      <c r="G17" t="str">
        <f>IF(COC!I30="","",INDEX(COCDV[Facility],MATCH(COC!$I$6,COCDV[SAP Name],0)))</f>
        <v/>
      </c>
      <c r="H17" t="str">
        <f>IF(COC!I30="","",INDEX(COCDV[Address],MATCH(COC!$I$6,COCDV[SAP Name],0)))</f>
        <v/>
      </c>
      <c r="I17" t="str">
        <f>IF(COC!I30="","",COC!I30)</f>
        <v/>
      </c>
      <c r="J17" t="str">
        <f>IF(COCRollupTbl[[#This Row],[COC Loc.]]="","",SplitString(COCRollupTbl[[#This Row],[COC Loc.]],2,", ")&amp;", "&amp;SplitString(COCRollupTbl[[#This Row],[COC Loc.]],3,", "))</f>
        <v/>
      </c>
      <c r="K17" t="str">
        <f>IF(COCRollupTbl[[#This Row],[COC Loc.]]="","",COCRollupTbl[[#This Row],[Source]]&amp;", "&amp;COCRollupTbl[[#This Row],[Type]]&amp;", "&amp;COCRollupTbl[[#This Row],[COC Loc.]])</f>
        <v/>
      </c>
      <c r="L17" t="str">
        <f>IF(COC!E30="","",COC!E30)</f>
        <v/>
      </c>
      <c r="M17" t="str">
        <f>IF(COC!H30="","",COC!H30)</f>
        <v/>
      </c>
      <c r="N17" t="str">
        <f>IF(COCRollupTbl[[#This Row],[COC Loc.]]="","",SplitString(COCRollupTbl[[#This Row],[COC Loc.]],1,", "))</f>
        <v/>
      </c>
      <c r="O17" t="str">
        <f>IF(COCRollupTbl[[#This Row],[COC Loc.]]="","",SplitString(COCRollupTbl[[#This Row],[COC Loc.]],2,", "))</f>
        <v/>
      </c>
      <c r="T17" t="str">
        <f>IF(COC!K30="","",COC!K30)</f>
        <v/>
      </c>
      <c r="U17" t="str">
        <f>IF(COC!L30="","",COC!L30)</f>
        <v/>
      </c>
      <c r="V17" t="str">
        <f>IF(COC!M30="","",COC!M30)</f>
        <v/>
      </c>
      <c r="X1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8" spans="2:25" x14ac:dyDescent="0.2">
      <c r="B18">
        <f>COC!A31</f>
        <v>17</v>
      </c>
      <c r="C18" t="str">
        <f>COC!O31</f>
        <v/>
      </c>
      <c r="D18" s="46" t="str">
        <f>IF(COC!C31="","",COC!C31)</f>
        <v/>
      </c>
      <c r="E18" s="44" t="str">
        <f>IF(COC!D31="","",COC!D31)</f>
        <v/>
      </c>
      <c r="G18" t="str">
        <f>IF(COC!I31="","",INDEX(COCDV[Facility],MATCH(COC!$I$6,COCDV[SAP Name],0)))</f>
        <v/>
      </c>
      <c r="H18" t="str">
        <f>IF(COC!I31="","",INDEX(COCDV[Address],MATCH(COC!$I$6,COCDV[SAP Name],0)))</f>
        <v/>
      </c>
      <c r="I18" t="str">
        <f>IF(COC!I31="","",COC!I31)</f>
        <v/>
      </c>
      <c r="J18" t="str">
        <f>IF(COCRollupTbl[[#This Row],[COC Loc.]]="","",SplitString(COCRollupTbl[[#This Row],[COC Loc.]],2,", ")&amp;", "&amp;SplitString(COCRollupTbl[[#This Row],[COC Loc.]],3,", "))</f>
        <v/>
      </c>
      <c r="K18" t="str">
        <f>IF(COCRollupTbl[[#This Row],[COC Loc.]]="","",COCRollupTbl[[#This Row],[Source]]&amp;", "&amp;COCRollupTbl[[#This Row],[Type]]&amp;", "&amp;COCRollupTbl[[#This Row],[COC Loc.]])</f>
        <v/>
      </c>
      <c r="L18" t="str">
        <f>IF(COC!E31="","",COC!E31)</f>
        <v/>
      </c>
      <c r="M18" t="str">
        <f>IF(COC!H31="","",COC!H31)</f>
        <v/>
      </c>
      <c r="N18" t="str">
        <f>IF(COCRollupTbl[[#This Row],[COC Loc.]]="","",SplitString(COCRollupTbl[[#This Row],[COC Loc.]],1,", "))</f>
        <v/>
      </c>
      <c r="O18" t="str">
        <f>IF(COCRollupTbl[[#This Row],[COC Loc.]]="","",SplitString(COCRollupTbl[[#This Row],[COC Loc.]],2,", "))</f>
        <v/>
      </c>
      <c r="T18" t="str">
        <f>IF(COC!K31="","",COC!K31)</f>
        <v/>
      </c>
      <c r="U18" t="str">
        <f>IF(COC!L31="","",COC!L31)</f>
        <v/>
      </c>
      <c r="V18" t="str">
        <f>IF(COC!M31="","",COC!M31)</f>
        <v/>
      </c>
      <c r="X1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9" spans="2:25" x14ac:dyDescent="0.2">
      <c r="B19">
        <f>COC!A32</f>
        <v>18</v>
      </c>
      <c r="C19" t="str">
        <f>COC!O32</f>
        <v/>
      </c>
      <c r="D19" s="46" t="str">
        <f>IF(COC!C32="","",COC!C32)</f>
        <v/>
      </c>
      <c r="E19" s="44" t="str">
        <f>IF(COC!D32="","",COC!D32)</f>
        <v/>
      </c>
      <c r="G19" t="str">
        <f>IF(COC!I32="","",INDEX(COCDV[Facility],MATCH(COC!$I$6,COCDV[SAP Name],0)))</f>
        <v/>
      </c>
      <c r="H19" t="str">
        <f>IF(COC!I32="","",INDEX(COCDV[Address],MATCH(COC!$I$6,COCDV[SAP Name],0)))</f>
        <v/>
      </c>
      <c r="I19" t="str">
        <f>IF(COC!I32="","",COC!I32)</f>
        <v/>
      </c>
      <c r="J19" t="str">
        <f>IF(COCRollupTbl[[#This Row],[COC Loc.]]="","",SplitString(COCRollupTbl[[#This Row],[COC Loc.]],2,", ")&amp;", "&amp;SplitString(COCRollupTbl[[#This Row],[COC Loc.]],3,", "))</f>
        <v/>
      </c>
      <c r="K19" t="str">
        <f>IF(COCRollupTbl[[#This Row],[COC Loc.]]="","",COCRollupTbl[[#This Row],[Source]]&amp;", "&amp;COCRollupTbl[[#This Row],[Type]]&amp;", "&amp;COCRollupTbl[[#This Row],[COC Loc.]])</f>
        <v/>
      </c>
      <c r="L19" t="str">
        <f>IF(COC!E32="","",COC!E32)</f>
        <v/>
      </c>
      <c r="M19" t="str">
        <f>IF(COC!H32="","",COC!H32)</f>
        <v/>
      </c>
      <c r="N19" t="str">
        <f>IF(COCRollupTbl[[#This Row],[COC Loc.]]="","",SplitString(COCRollupTbl[[#This Row],[COC Loc.]],1,", "))</f>
        <v/>
      </c>
      <c r="O19" t="str">
        <f>IF(COCRollupTbl[[#This Row],[COC Loc.]]="","",SplitString(COCRollupTbl[[#This Row],[COC Loc.]],2,", "))</f>
        <v/>
      </c>
      <c r="T19" t="str">
        <f>IF(COC!K32="","",COC!K32)</f>
        <v/>
      </c>
      <c r="U19" t="str">
        <f>IF(COC!L32="","",COC!L32)</f>
        <v/>
      </c>
      <c r="V19" t="str">
        <f>IF(COC!M32="","",COC!M32)</f>
        <v/>
      </c>
      <c r="X1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0" spans="2:25" x14ac:dyDescent="0.2">
      <c r="B20">
        <f>COC!A33</f>
        <v>19</v>
      </c>
      <c r="C20" t="str">
        <f>COC!O33</f>
        <v/>
      </c>
      <c r="D20" s="46" t="str">
        <f>IF(COC!C33="","",COC!C33)</f>
        <v/>
      </c>
      <c r="E20" s="44" t="str">
        <f>IF(COC!D33="","",COC!D33)</f>
        <v/>
      </c>
      <c r="G20" t="str">
        <f>IF(COC!I33="","",INDEX(COCDV[Facility],MATCH(COC!$I$6,COCDV[SAP Name],0)))</f>
        <v/>
      </c>
      <c r="H20" t="str">
        <f>IF(COC!I33="","",INDEX(COCDV[Address],MATCH(COC!$I$6,COCDV[SAP Name],0)))</f>
        <v/>
      </c>
      <c r="I20" t="str">
        <f>IF(COC!I33="","",COC!I33)</f>
        <v/>
      </c>
      <c r="J20" t="str">
        <f>IF(COCRollupTbl[[#This Row],[COC Loc.]]="","",SplitString(COCRollupTbl[[#This Row],[COC Loc.]],2,", ")&amp;", "&amp;SplitString(COCRollupTbl[[#This Row],[COC Loc.]],3,", "))</f>
        <v/>
      </c>
      <c r="K20" t="str">
        <f>IF(COCRollupTbl[[#This Row],[COC Loc.]]="","",COCRollupTbl[[#This Row],[Source]]&amp;", "&amp;COCRollupTbl[[#This Row],[Type]]&amp;", "&amp;COCRollupTbl[[#This Row],[COC Loc.]])</f>
        <v/>
      </c>
      <c r="L20" t="str">
        <f>IF(COC!E33="","",COC!E33)</f>
        <v/>
      </c>
      <c r="M20" t="str">
        <f>IF(COC!H33="","",COC!H33)</f>
        <v/>
      </c>
      <c r="N20" t="str">
        <f>IF(COCRollupTbl[[#This Row],[COC Loc.]]="","",SplitString(COCRollupTbl[[#This Row],[COC Loc.]],1,", "))</f>
        <v/>
      </c>
      <c r="O20" t="str">
        <f>IF(COCRollupTbl[[#This Row],[COC Loc.]]="","",SplitString(COCRollupTbl[[#This Row],[COC Loc.]],2,", "))</f>
        <v/>
      </c>
      <c r="T20" t="str">
        <f>IF(COC!K33="","",COC!K33)</f>
        <v/>
      </c>
      <c r="U20" t="str">
        <f>IF(COC!L33="","",COC!L33)</f>
        <v/>
      </c>
      <c r="V20" t="str">
        <f>IF(COC!M33="","",COC!M33)</f>
        <v/>
      </c>
      <c r="X2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1" spans="2:25" x14ac:dyDescent="0.2">
      <c r="B21">
        <f>COC!A34</f>
        <v>20</v>
      </c>
      <c r="C21" t="str">
        <f>COC!O34</f>
        <v/>
      </c>
      <c r="D21" s="46" t="str">
        <f>IF(COC!C34="","",COC!C34)</f>
        <v/>
      </c>
      <c r="E21" s="44" t="str">
        <f>IF(COC!D34="","",COC!D34)</f>
        <v/>
      </c>
      <c r="G21" t="str">
        <f>IF(COC!I34="","",INDEX(COCDV[Facility],MATCH(COC!$I$6,COCDV[SAP Name],0)))</f>
        <v/>
      </c>
      <c r="H21" t="str">
        <f>IF(COC!I34="","",INDEX(COCDV[Address],MATCH(COC!$I$6,COCDV[SAP Name],0)))</f>
        <v/>
      </c>
      <c r="I21" t="str">
        <f>IF(COC!I34="","",COC!I34)</f>
        <v/>
      </c>
      <c r="J21" t="str">
        <f>IF(COCRollupTbl[[#This Row],[COC Loc.]]="","",SplitString(COCRollupTbl[[#This Row],[COC Loc.]],2,", ")&amp;", "&amp;SplitString(COCRollupTbl[[#This Row],[COC Loc.]],3,", "))</f>
        <v/>
      </c>
      <c r="K21" t="str">
        <f>IF(COCRollupTbl[[#This Row],[COC Loc.]]="","",COCRollupTbl[[#This Row],[Source]]&amp;", "&amp;COCRollupTbl[[#This Row],[Type]]&amp;", "&amp;COCRollupTbl[[#This Row],[COC Loc.]])</f>
        <v/>
      </c>
      <c r="L21" t="str">
        <f>IF(COC!E34="","",COC!E34)</f>
        <v/>
      </c>
      <c r="M21" t="str">
        <f>IF(COC!H34="","",COC!H34)</f>
        <v/>
      </c>
      <c r="N21" t="str">
        <f>IF(COCRollupTbl[[#This Row],[COC Loc.]]="","",SplitString(COCRollupTbl[[#This Row],[COC Loc.]],1,", "))</f>
        <v/>
      </c>
      <c r="O21" t="str">
        <f>IF(COCRollupTbl[[#This Row],[COC Loc.]]="","",SplitString(COCRollupTbl[[#This Row],[COC Loc.]],2,", "))</f>
        <v/>
      </c>
      <c r="T21" t="str">
        <f>IF(COC!K34="","",COC!K34)</f>
        <v/>
      </c>
      <c r="U21" t="str">
        <f>IF(COC!L34="","",COC!L34)</f>
        <v/>
      </c>
      <c r="V21" t="str">
        <f>IF(COC!M34="","",COC!M34)</f>
        <v/>
      </c>
      <c r="X2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2" spans="2:25" x14ac:dyDescent="0.2">
      <c r="B22">
        <f>COC!A35</f>
        <v>21</v>
      </c>
      <c r="C22" t="str">
        <f>COC!O35</f>
        <v/>
      </c>
      <c r="D22" s="46" t="str">
        <f>IF(COC!C35="","",COC!C35)</f>
        <v/>
      </c>
      <c r="E22" s="44" t="str">
        <f>IF(COC!D35="","",COC!D35)</f>
        <v/>
      </c>
      <c r="G22" t="str">
        <f>IF(COC!I35="","",INDEX(COCDV[Facility],MATCH(COC!$I$6,COCDV[SAP Name],0)))</f>
        <v/>
      </c>
      <c r="H22" t="str">
        <f>IF(COC!I35="","",INDEX(COCDV[Address],MATCH(COC!$I$6,COCDV[SAP Name],0)))</f>
        <v/>
      </c>
      <c r="I22" t="str">
        <f>IF(COC!I35="","",COC!I35)</f>
        <v/>
      </c>
      <c r="J22" t="str">
        <f>IF(COCRollupTbl[[#This Row],[COC Loc.]]="","",SplitString(COCRollupTbl[[#This Row],[COC Loc.]],2,", ")&amp;", "&amp;SplitString(COCRollupTbl[[#This Row],[COC Loc.]],3,", "))</f>
        <v/>
      </c>
      <c r="K22" t="str">
        <f>IF(COCRollupTbl[[#This Row],[COC Loc.]]="","",COCRollupTbl[[#This Row],[Source]]&amp;", "&amp;COCRollupTbl[[#This Row],[Type]]&amp;", "&amp;COCRollupTbl[[#This Row],[COC Loc.]])</f>
        <v/>
      </c>
      <c r="L22" t="str">
        <f>IF(COC!E35="","",COC!E35)</f>
        <v/>
      </c>
      <c r="M22" t="str">
        <f>IF(COC!H35="","",COC!H35)</f>
        <v/>
      </c>
      <c r="N22" t="str">
        <f>IF(COCRollupTbl[[#This Row],[COC Loc.]]="","",SplitString(COCRollupTbl[[#This Row],[COC Loc.]],1,", "))</f>
        <v/>
      </c>
      <c r="O22" t="str">
        <f>IF(COCRollupTbl[[#This Row],[COC Loc.]]="","",SplitString(COCRollupTbl[[#This Row],[COC Loc.]],2,", "))</f>
        <v/>
      </c>
      <c r="T22" t="str">
        <f>IF(COC!K35="","",COC!K35)</f>
        <v/>
      </c>
      <c r="U22" t="str">
        <f>IF(COC!L35="","",COC!L35)</f>
        <v/>
      </c>
      <c r="V22" t="str">
        <f>IF(COC!M35="","",COC!M35)</f>
        <v/>
      </c>
      <c r="X2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3" spans="2:25" x14ac:dyDescent="0.2">
      <c r="B23">
        <f>COC!A36</f>
        <v>22</v>
      </c>
      <c r="C23" t="str">
        <f>COC!O36</f>
        <v/>
      </c>
      <c r="D23" s="46" t="str">
        <f>IF(COC!C36="","",COC!C36)</f>
        <v/>
      </c>
      <c r="E23" s="44" t="str">
        <f>IF(COC!D36="","",COC!D36)</f>
        <v/>
      </c>
      <c r="G23" t="str">
        <f>IF(COC!I36="","",INDEX(COCDV[Facility],MATCH(COC!$I$6,COCDV[SAP Name],0)))</f>
        <v/>
      </c>
      <c r="H23" t="str">
        <f>IF(COC!I36="","",INDEX(COCDV[Address],MATCH(COC!$I$6,COCDV[SAP Name],0)))</f>
        <v/>
      </c>
      <c r="I23" t="str">
        <f>IF(COC!I36="","",COC!I36)</f>
        <v/>
      </c>
      <c r="J23" t="str">
        <f>IF(COCRollupTbl[[#This Row],[COC Loc.]]="","",SplitString(COCRollupTbl[[#This Row],[COC Loc.]],2,", ")&amp;", "&amp;SplitString(COCRollupTbl[[#This Row],[COC Loc.]],3,", "))</f>
        <v/>
      </c>
      <c r="K23" t="str">
        <f>IF(COCRollupTbl[[#This Row],[COC Loc.]]="","",COCRollupTbl[[#This Row],[Source]]&amp;", "&amp;COCRollupTbl[[#This Row],[Type]]&amp;", "&amp;COCRollupTbl[[#This Row],[COC Loc.]])</f>
        <v/>
      </c>
      <c r="L23" t="str">
        <f>IF(COC!E36="","",COC!E36)</f>
        <v/>
      </c>
      <c r="M23" t="str">
        <f>IF(COC!H36="","",COC!H36)</f>
        <v/>
      </c>
      <c r="N23" t="str">
        <f>IF(COCRollupTbl[[#This Row],[COC Loc.]]="","",SplitString(COCRollupTbl[[#This Row],[COC Loc.]],1,", "))</f>
        <v/>
      </c>
      <c r="O23" t="str">
        <f>IF(COCRollupTbl[[#This Row],[COC Loc.]]="","",SplitString(COCRollupTbl[[#This Row],[COC Loc.]],2,", "))</f>
        <v/>
      </c>
      <c r="T23" t="str">
        <f>IF(COC!K36="","",COC!K36)</f>
        <v/>
      </c>
      <c r="U23" t="str">
        <f>IF(COC!L36="","",COC!L36)</f>
        <v/>
      </c>
      <c r="V23" t="str">
        <f>IF(COC!M36="","",COC!M36)</f>
        <v/>
      </c>
      <c r="X2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4" spans="2:25" x14ac:dyDescent="0.2">
      <c r="B24">
        <f>COC!A37</f>
        <v>23</v>
      </c>
      <c r="C24" t="str">
        <f>COC!O37</f>
        <v/>
      </c>
      <c r="D24" s="46" t="str">
        <f>IF(COC!C37="","",COC!C37)</f>
        <v/>
      </c>
      <c r="E24" s="44" t="str">
        <f>IF(COC!D37="","",COC!D37)</f>
        <v/>
      </c>
      <c r="G24" t="str">
        <f>IF(COC!I37="","",INDEX(COCDV[Facility],MATCH(COC!$I$6,COCDV[SAP Name],0)))</f>
        <v/>
      </c>
      <c r="H24" t="str">
        <f>IF(COC!I37="","",INDEX(COCDV[Address],MATCH(COC!$I$6,COCDV[SAP Name],0)))</f>
        <v/>
      </c>
      <c r="I24" t="str">
        <f>IF(COC!I37="","",COC!I37)</f>
        <v/>
      </c>
      <c r="J24" t="str">
        <f>IF(COCRollupTbl[[#This Row],[COC Loc.]]="","",SplitString(COCRollupTbl[[#This Row],[COC Loc.]],2,", ")&amp;", "&amp;SplitString(COCRollupTbl[[#This Row],[COC Loc.]],3,", "))</f>
        <v/>
      </c>
      <c r="K24" t="str">
        <f>IF(COCRollupTbl[[#This Row],[COC Loc.]]="","",COCRollupTbl[[#This Row],[Source]]&amp;", "&amp;COCRollupTbl[[#This Row],[Type]]&amp;", "&amp;COCRollupTbl[[#This Row],[COC Loc.]])</f>
        <v/>
      </c>
      <c r="L24" t="str">
        <f>IF(COC!E37="","",COC!E37)</f>
        <v/>
      </c>
      <c r="M24" t="str">
        <f>IF(COC!H37="","",COC!H37)</f>
        <v/>
      </c>
      <c r="N24" t="str">
        <f>IF(COCRollupTbl[[#This Row],[COC Loc.]]="","",SplitString(COCRollupTbl[[#This Row],[COC Loc.]],1,", "))</f>
        <v/>
      </c>
      <c r="O24" t="str">
        <f>IF(COCRollupTbl[[#This Row],[COC Loc.]]="","",SplitString(COCRollupTbl[[#This Row],[COC Loc.]],2,", "))</f>
        <v/>
      </c>
      <c r="T24" t="str">
        <f>IF(COC!K37="","",COC!K37)</f>
        <v/>
      </c>
      <c r="U24" t="str">
        <f>IF(COC!L37="","",COC!L37)</f>
        <v/>
      </c>
      <c r="V24" t="str">
        <f>IF(COC!M37="","",COC!M37)</f>
        <v/>
      </c>
      <c r="X2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5" spans="2:25" x14ac:dyDescent="0.2">
      <c r="B25">
        <f>COC!A38</f>
        <v>24</v>
      </c>
      <c r="C25" t="str">
        <f>COC!O38</f>
        <v/>
      </c>
      <c r="D25" s="46" t="str">
        <f>IF(COC!C38="","",COC!C38)</f>
        <v/>
      </c>
      <c r="E25" s="44" t="str">
        <f>IF(COC!D38="","",COC!D38)</f>
        <v/>
      </c>
      <c r="G25" t="str">
        <f>IF(COC!I38="","",INDEX(COCDV[Facility],MATCH(COC!$I$6,COCDV[SAP Name],0)))</f>
        <v/>
      </c>
      <c r="H25" t="str">
        <f>IF(COC!I38="","",INDEX(COCDV[Address],MATCH(COC!$I$6,COCDV[SAP Name],0)))</f>
        <v/>
      </c>
      <c r="I25" t="str">
        <f>IF(COC!I38="","",COC!I38)</f>
        <v/>
      </c>
      <c r="J25" t="str">
        <f>IF(COCRollupTbl[[#This Row],[COC Loc.]]="","",SplitString(COCRollupTbl[[#This Row],[COC Loc.]],2,", ")&amp;", "&amp;SplitString(COCRollupTbl[[#This Row],[COC Loc.]],3,", "))</f>
        <v/>
      </c>
      <c r="K25" t="str">
        <f>IF(COCRollupTbl[[#This Row],[COC Loc.]]="","",COCRollupTbl[[#This Row],[Source]]&amp;", "&amp;COCRollupTbl[[#This Row],[Type]]&amp;", "&amp;COCRollupTbl[[#This Row],[COC Loc.]])</f>
        <v/>
      </c>
      <c r="L25" t="str">
        <f>IF(COC!E38="","",COC!E38)</f>
        <v/>
      </c>
      <c r="M25" t="str">
        <f>IF(COC!H38="","",COC!H38)</f>
        <v/>
      </c>
      <c r="N25" t="str">
        <f>IF(COCRollupTbl[[#This Row],[COC Loc.]]="","",SplitString(COCRollupTbl[[#This Row],[COC Loc.]],1,", "))</f>
        <v/>
      </c>
      <c r="O25" t="str">
        <f>IF(COCRollupTbl[[#This Row],[COC Loc.]]="","",SplitString(COCRollupTbl[[#This Row],[COC Loc.]],2,", "))</f>
        <v/>
      </c>
      <c r="T25" t="str">
        <f>IF(COC!K38="","",COC!K38)</f>
        <v/>
      </c>
      <c r="U25" t="str">
        <f>IF(COC!L38="","",COC!L38)</f>
        <v/>
      </c>
      <c r="V25" t="str">
        <f>IF(COC!M38="","",COC!M38)</f>
        <v/>
      </c>
      <c r="X2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6" spans="2:25" x14ac:dyDescent="0.2">
      <c r="B26">
        <f>COC!A39</f>
        <v>25</v>
      </c>
      <c r="C26" t="str">
        <f>COC!O39</f>
        <v/>
      </c>
      <c r="D26" s="46" t="str">
        <f>IF(COC!C39="","",COC!C39)</f>
        <v/>
      </c>
      <c r="E26" s="44" t="str">
        <f>IF(COC!D39="","",COC!D39)</f>
        <v/>
      </c>
      <c r="G26" t="str">
        <f>IF(COC!I39="","",INDEX(COCDV[Facility],MATCH(COC!$I$6,COCDV[SAP Name],0)))</f>
        <v/>
      </c>
      <c r="H26" t="str">
        <f>IF(COC!I39="","",INDEX(COCDV[Address],MATCH(COC!$I$6,COCDV[SAP Name],0)))</f>
        <v/>
      </c>
      <c r="I26" t="str">
        <f>IF(COC!I39="","",COC!I39)</f>
        <v/>
      </c>
      <c r="J26" t="str">
        <f>IF(COCRollupTbl[[#This Row],[COC Loc.]]="","",SplitString(COCRollupTbl[[#This Row],[COC Loc.]],2,", ")&amp;", "&amp;SplitString(COCRollupTbl[[#This Row],[COC Loc.]],3,", "))</f>
        <v/>
      </c>
      <c r="K26" t="str">
        <f>IF(COCRollupTbl[[#This Row],[COC Loc.]]="","",COCRollupTbl[[#This Row],[Source]]&amp;", "&amp;COCRollupTbl[[#This Row],[Type]]&amp;", "&amp;COCRollupTbl[[#This Row],[COC Loc.]])</f>
        <v/>
      </c>
      <c r="L26" t="str">
        <f>IF(COC!E39="","",COC!E39)</f>
        <v/>
      </c>
      <c r="M26" t="str">
        <f>IF(COC!H39="","",COC!H39)</f>
        <v/>
      </c>
      <c r="N26" t="str">
        <f>IF(COCRollupTbl[[#This Row],[COC Loc.]]="","",SplitString(COCRollupTbl[[#This Row],[COC Loc.]],1,", "))</f>
        <v/>
      </c>
      <c r="O26" t="str">
        <f>IF(COCRollupTbl[[#This Row],[COC Loc.]]="","",SplitString(COCRollupTbl[[#This Row],[COC Loc.]],2,", "))</f>
        <v/>
      </c>
      <c r="T26" t="str">
        <f>IF(COC!K39="","",COC!K39)</f>
        <v/>
      </c>
      <c r="U26" t="str">
        <f>IF(COC!L39="","",COC!L39)</f>
        <v/>
      </c>
      <c r="V26" t="str">
        <f>IF(COC!M39="","",COC!M39)</f>
        <v/>
      </c>
      <c r="X2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7" spans="2:25" x14ac:dyDescent="0.2">
      <c r="B27">
        <f>COC!A40</f>
        <v>26</v>
      </c>
      <c r="C27" t="str">
        <f>COC!O40</f>
        <v/>
      </c>
      <c r="D27" s="46" t="str">
        <f>IF(COC!C40="","",COC!C40)</f>
        <v/>
      </c>
      <c r="E27" s="37" t="str">
        <f>IF(COC!D40="","",COC!D40)</f>
        <v/>
      </c>
      <c r="G27" t="str">
        <f>IF(COC!I40="","",INDEX(COCDV[Facility],MATCH(COC!$I$6,COCDV[SAP Name],0)))</f>
        <v/>
      </c>
      <c r="H27" t="str">
        <f>IF(COC!I40="","",INDEX(COCDV[Address],MATCH(COC!$I$6,COCDV[SAP Name],0)))</f>
        <v/>
      </c>
      <c r="I27" t="str">
        <f>IF(COC!I40="","",COC!I40)</f>
        <v/>
      </c>
      <c r="J27" t="str">
        <f>IF(COCRollupTbl[[#This Row],[COC Loc.]]="","",SplitString(COCRollupTbl[[#This Row],[COC Loc.]],2,", ")&amp;", "&amp;SplitString(COCRollupTbl[[#This Row],[COC Loc.]],3,", "))</f>
        <v/>
      </c>
      <c r="K27" t="str">
        <f>IF(COCRollupTbl[[#This Row],[COC Loc.]]="","",COCRollupTbl[[#This Row],[Source]]&amp;", "&amp;COCRollupTbl[[#This Row],[Type]]&amp;", "&amp;COCRollupTbl[[#This Row],[COC Loc.]])</f>
        <v/>
      </c>
      <c r="L27" t="str">
        <f>IF(COC!E40="","",COC!E40)</f>
        <v/>
      </c>
      <c r="M27" t="str">
        <f>IF(COC!H40="","",COC!H40)</f>
        <v/>
      </c>
      <c r="N27" t="str">
        <f>IF(COCRollupTbl[[#This Row],[COC Loc.]]="","",SplitString(COCRollupTbl[[#This Row],[COC Loc.]],1,", "))</f>
        <v/>
      </c>
      <c r="O27" t="str">
        <f>IF(COCRollupTbl[[#This Row],[COC Loc.]]="","",SplitString(COCRollupTbl[[#This Row],[COC Loc.]],2,", "))</f>
        <v/>
      </c>
      <c r="T27" t="str">
        <f>IF(COC!K40="","",COC!K40)</f>
        <v/>
      </c>
      <c r="U27" t="str">
        <f>IF(COC!L40="","",COC!L40)</f>
        <v/>
      </c>
      <c r="V27" t="str">
        <f>IF(COC!M40="","",COC!M40)</f>
        <v/>
      </c>
      <c r="X2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8" spans="2:25" x14ac:dyDescent="0.2">
      <c r="B28">
        <f>COC!A41</f>
        <v>27</v>
      </c>
      <c r="C28" t="str">
        <f>COC!O41</f>
        <v/>
      </c>
      <c r="D28" s="46" t="str">
        <f>IF(COC!C41="","",COC!C41)</f>
        <v/>
      </c>
      <c r="E28" s="37" t="str">
        <f>IF(COC!D41="","",COC!D41)</f>
        <v/>
      </c>
      <c r="G28" t="str">
        <f>IF(COC!I41="","",INDEX(COCDV[Facility],MATCH(COC!$I$6,COCDV[SAP Name],0)))</f>
        <v/>
      </c>
      <c r="H28" t="str">
        <f>IF(COC!I41="","",INDEX(COCDV[Address],MATCH(COC!$I$6,COCDV[SAP Name],0)))</f>
        <v/>
      </c>
      <c r="I28" t="str">
        <f>IF(COC!I41="","",COC!I41)</f>
        <v/>
      </c>
      <c r="J28" t="str">
        <f>IF(COCRollupTbl[[#This Row],[COC Loc.]]="","",SplitString(COCRollupTbl[[#This Row],[COC Loc.]],2,", ")&amp;", "&amp;SplitString(COCRollupTbl[[#This Row],[COC Loc.]],3,", "))</f>
        <v/>
      </c>
      <c r="K28" t="str">
        <f>IF(COCRollupTbl[[#This Row],[COC Loc.]]="","",COCRollupTbl[[#This Row],[Source]]&amp;", "&amp;COCRollupTbl[[#This Row],[Type]]&amp;", "&amp;COCRollupTbl[[#This Row],[COC Loc.]])</f>
        <v/>
      </c>
      <c r="L28" t="str">
        <f>IF(COC!E41="","",COC!E41)</f>
        <v/>
      </c>
      <c r="M28" t="str">
        <f>IF(COC!H41="","",COC!H41)</f>
        <v/>
      </c>
      <c r="N28" t="str">
        <f>IF(COCRollupTbl[[#This Row],[COC Loc.]]="","",SplitString(COCRollupTbl[[#This Row],[COC Loc.]],1,", "))</f>
        <v/>
      </c>
      <c r="O28" t="str">
        <f>IF(COCRollupTbl[[#This Row],[COC Loc.]]="","",SplitString(COCRollupTbl[[#This Row],[COC Loc.]],2,", "))</f>
        <v/>
      </c>
      <c r="T28" t="str">
        <f>IF(COC!K41="","",COC!K41)</f>
        <v/>
      </c>
      <c r="U28" t="str">
        <f>IF(COC!L41="","",COC!L41)</f>
        <v/>
      </c>
      <c r="V28" t="str">
        <f>IF(COC!M41="","",COC!M41)</f>
        <v/>
      </c>
      <c r="X2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9" spans="2:25" x14ac:dyDescent="0.2">
      <c r="B29">
        <f>COC!A42</f>
        <v>28</v>
      </c>
      <c r="C29" t="str">
        <f>COC!O42</f>
        <v/>
      </c>
      <c r="D29" s="46" t="str">
        <f>IF(COC!C42="","",COC!C42)</f>
        <v/>
      </c>
      <c r="E29" s="37" t="str">
        <f>IF(COC!D42="","",COC!D42)</f>
        <v/>
      </c>
      <c r="G29" t="str">
        <f>IF(COC!I42="","",INDEX(COCDV[Facility],MATCH(COC!$I$6,COCDV[SAP Name],0)))</f>
        <v/>
      </c>
      <c r="H29" t="str">
        <f>IF(COC!I42="","",INDEX(COCDV[Address],MATCH(COC!$I$6,COCDV[SAP Name],0)))</f>
        <v/>
      </c>
      <c r="I29" t="str">
        <f>IF(COC!I42="","",COC!I42)</f>
        <v/>
      </c>
      <c r="J29" t="str">
        <f>IF(COCRollupTbl[[#This Row],[COC Loc.]]="","",SplitString(COCRollupTbl[[#This Row],[COC Loc.]],2,", ")&amp;", "&amp;SplitString(COCRollupTbl[[#This Row],[COC Loc.]],3,", "))</f>
        <v/>
      </c>
      <c r="K29" t="str">
        <f>IF(COCRollupTbl[[#This Row],[COC Loc.]]="","",COCRollupTbl[[#This Row],[Source]]&amp;", "&amp;COCRollupTbl[[#This Row],[Type]]&amp;", "&amp;COCRollupTbl[[#This Row],[COC Loc.]])</f>
        <v/>
      </c>
      <c r="L29" t="str">
        <f>IF(COC!E42="","",COC!E42)</f>
        <v/>
      </c>
      <c r="M29" t="str">
        <f>IF(COC!H42="","",COC!H42)</f>
        <v/>
      </c>
      <c r="N29" t="str">
        <f>IF(COCRollupTbl[[#This Row],[COC Loc.]]="","",SplitString(COCRollupTbl[[#This Row],[COC Loc.]],1,", "))</f>
        <v/>
      </c>
      <c r="O29" t="str">
        <f>IF(COCRollupTbl[[#This Row],[COC Loc.]]="","",SplitString(COCRollupTbl[[#This Row],[COC Loc.]],2,", "))</f>
        <v/>
      </c>
      <c r="T29" t="str">
        <f>IF(COC!K42="","",COC!K42)</f>
        <v/>
      </c>
      <c r="U29" t="str">
        <f>IF(COC!L42="","",COC!L42)</f>
        <v/>
      </c>
      <c r="V29" t="str">
        <f>IF(COC!M42="","",COC!M42)</f>
        <v/>
      </c>
      <c r="X2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0" spans="2:25" x14ac:dyDescent="0.2">
      <c r="B30">
        <f>COC!A43</f>
        <v>29</v>
      </c>
      <c r="C30" t="str">
        <f>COC!O43</f>
        <v/>
      </c>
      <c r="D30" s="46" t="str">
        <f>IF(COC!C43="","",COC!C43)</f>
        <v/>
      </c>
      <c r="E30" s="37" t="str">
        <f>IF(COC!D43="","",COC!D43)</f>
        <v/>
      </c>
      <c r="G30" t="str">
        <f>IF(COC!I43="","",INDEX(COCDV[Facility],MATCH(COC!$I$6,COCDV[SAP Name],0)))</f>
        <v/>
      </c>
      <c r="H30" t="str">
        <f>IF(COC!I43="","",INDEX(COCDV[Address],MATCH(COC!$I$6,COCDV[SAP Name],0)))</f>
        <v/>
      </c>
      <c r="I30" t="str">
        <f>IF(COC!I43="","",COC!I43)</f>
        <v/>
      </c>
      <c r="J30" t="str">
        <f>IF(COCRollupTbl[[#This Row],[COC Loc.]]="","",SplitString(COCRollupTbl[[#This Row],[COC Loc.]],2,", ")&amp;", "&amp;SplitString(COCRollupTbl[[#This Row],[COC Loc.]],3,", "))</f>
        <v/>
      </c>
      <c r="K30" t="str">
        <f>IF(COCRollupTbl[[#This Row],[COC Loc.]]="","",COCRollupTbl[[#This Row],[Source]]&amp;", "&amp;COCRollupTbl[[#This Row],[Type]]&amp;", "&amp;COCRollupTbl[[#This Row],[COC Loc.]])</f>
        <v/>
      </c>
      <c r="L30" t="str">
        <f>IF(COC!E43="","",COC!E43)</f>
        <v/>
      </c>
      <c r="M30" t="str">
        <f>IF(COC!H43="","",COC!H43)</f>
        <v/>
      </c>
      <c r="N30" t="str">
        <f>IF(COCRollupTbl[[#This Row],[COC Loc.]]="","",SplitString(COCRollupTbl[[#This Row],[COC Loc.]],1,", "))</f>
        <v/>
      </c>
      <c r="O30" t="str">
        <f>IF(COCRollupTbl[[#This Row],[COC Loc.]]="","",SplitString(COCRollupTbl[[#This Row],[COC Loc.]],2,", "))</f>
        <v/>
      </c>
      <c r="T30" t="str">
        <f>IF(COC!K43="","",COC!K43)</f>
        <v/>
      </c>
      <c r="U30" t="str">
        <f>IF(COC!L43="","",COC!L43)</f>
        <v/>
      </c>
      <c r="V30" t="str">
        <f>IF(COC!M43="","",COC!M43)</f>
        <v/>
      </c>
      <c r="X3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1" spans="2:25" x14ac:dyDescent="0.2">
      <c r="B31">
        <f>COC!A44</f>
        <v>30</v>
      </c>
      <c r="C31" t="str">
        <f>COC!O44</f>
        <v/>
      </c>
      <c r="D31" s="46" t="str">
        <f>IF(COC!C44="","",COC!C44)</f>
        <v/>
      </c>
      <c r="E31" s="37" t="str">
        <f>IF(COC!D44="","",COC!D44)</f>
        <v/>
      </c>
      <c r="G31" t="str">
        <f>IF(COC!I44="","",INDEX(COCDV[Facility],MATCH(COC!$I$6,COCDV[SAP Name],0)))</f>
        <v/>
      </c>
      <c r="H31" t="str">
        <f>IF(COC!I44="","",INDEX(COCDV[Address],MATCH(COC!$I$6,COCDV[SAP Name],0)))</f>
        <v/>
      </c>
      <c r="I31" t="str">
        <f>IF(COC!I44="","",COC!I44)</f>
        <v/>
      </c>
      <c r="J31" t="str">
        <f>IF(COCRollupTbl[[#This Row],[COC Loc.]]="","",SplitString(COCRollupTbl[[#This Row],[COC Loc.]],2,", ")&amp;", "&amp;SplitString(COCRollupTbl[[#This Row],[COC Loc.]],3,", "))</f>
        <v/>
      </c>
      <c r="K31" t="str">
        <f>IF(COCRollupTbl[[#This Row],[COC Loc.]]="","",COCRollupTbl[[#This Row],[Source]]&amp;", "&amp;COCRollupTbl[[#This Row],[Type]]&amp;", "&amp;COCRollupTbl[[#This Row],[COC Loc.]])</f>
        <v/>
      </c>
      <c r="L31" t="str">
        <f>IF(COC!E44="","",COC!E44)</f>
        <v/>
      </c>
      <c r="M31" t="str">
        <f>IF(COC!H44="","",COC!H44)</f>
        <v/>
      </c>
      <c r="N31" t="str">
        <f>IF(COCRollupTbl[[#This Row],[COC Loc.]]="","",SplitString(COCRollupTbl[[#This Row],[COC Loc.]],1,", "))</f>
        <v/>
      </c>
      <c r="O31" t="str">
        <f>IF(COCRollupTbl[[#This Row],[COC Loc.]]="","",SplitString(COCRollupTbl[[#This Row],[COC Loc.]],2,", "))</f>
        <v/>
      </c>
      <c r="T31" t="str">
        <f>IF(COC!K44="","",COC!K44)</f>
        <v/>
      </c>
      <c r="U31" t="str">
        <f>IF(COC!L44="","",COC!L44)</f>
        <v/>
      </c>
      <c r="V31" t="str">
        <f>IF(COC!M44="","",COC!M44)</f>
        <v/>
      </c>
      <c r="X3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2" spans="2:25" x14ac:dyDescent="0.2">
      <c r="B32">
        <f>COC!A45</f>
        <v>31</v>
      </c>
      <c r="C32" t="str">
        <f>COC!O45</f>
        <v/>
      </c>
      <c r="D32" s="46" t="str">
        <f>IF(COC!C45="","",COC!C45)</f>
        <v/>
      </c>
      <c r="E32" s="37" t="str">
        <f>IF(COC!D45="","",COC!D45)</f>
        <v/>
      </c>
      <c r="G32" t="str">
        <f>IF(COC!I45="","",INDEX(COCDV[Facility],MATCH(COC!$I$6,COCDV[SAP Name],0)))</f>
        <v/>
      </c>
      <c r="H32" t="str">
        <f>IF(COC!I45="","",INDEX(COCDV[Address],MATCH(COC!$I$6,COCDV[SAP Name],0)))</f>
        <v/>
      </c>
      <c r="I32" t="str">
        <f>IF(COC!I45="","",COC!I45)</f>
        <v/>
      </c>
      <c r="J32" t="str">
        <f>IF(COCRollupTbl[[#This Row],[COC Loc.]]="","",SplitString(COCRollupTbl[[#This Row],[COC Loc.]],2,", ")&amp;", "&amp;SplitString(COCRollupTbl[[#This Row],[COC Loc.]],3,", "))</f>
        <v/>
      </c>
      <c r="K32" t="str">
        <f>IF(COCRollupTbl[[#This Row],[COC Loc.]]="","",COCRollupTbl[[#This Row],[Source]]&amp;", "&amp;COCRollupTbl[[#This Row],[Type]]&amp;", "&amp;COCRollupTbl[[#This Row],[COC Loc.]])</f>
        <v/>
      </c>
      <c r="L32" t="str">
        <f>IF(COC!E45="","",COC!E45)</f>
        <v/>
      </c>
      <c r="M32" t="str">
        <f>IF(COC!H45="","",COC!H45)</f>
        <v/>
      </c>
      <c r="N32" t="str">
        <f>IF(COCRollupTbl[[#This Row],[COC Loc.]]="","",SplitString(COCRollupTbl[[#This Row],[COC Loc.]],1,", "))</f>
        <v/>
      </c>
      <c r="O32" t="str">
        <f>IF(COCRollupTbl[[#This Row],[COC Loc.]]="","",SplitString(COCRollupTbl[[#This Row],[COC Loc.]],2,", "))</f>
        <v/>
      </c>
      <c r="T32" t="str">
        <f>IF(COC!K45="","",COC!K45)</f>
        <v/>
      </c>
      <c r="U32" t="str">
        <f>IF(COC!L45="","",COC!L45)</f>
        <v/>
      </c>
      <c r="V32" t="str">
        <f>IF(COC!M45="","",COC!M45)</f>
        <v/>
      </c>
      <c r="X3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3" spans="2:25" x14ac:dyDescent="0.2">
      <c r="B33">
        <f>COC!A46</f>
        <v>32</v>
      </c>
      <c r="C33" t="str">
        <f>COC!O46</f>
        <v/>
      </c>
      <c r="D33" s="46" t="str">
        <f>IF(COC!C46="","",COC!C46)</f>
        <v/>
      </c>
      <c r="E33" s="37" t="str">
        <f>IF(COC!D46="","",COC!D46)</f>
        <v/>
      </c>
      <c r="G33" t="str">
        <f>IF(COC!I46="","",INDEX(COCDV[Facility],MATCH(COC!$I$6,COCDV[SAP Name],0)))</f>
        <v/>
      </c>
      <c r="H33" t="str">
        <f>IF(COC!I46="","",INDEX(COCDV[Address],MATCH(COC!$I$6,COCDV[SAP Name],0)))</f>
        <v/>
      </c>
      <c r="I33" t="str">
        <f>IF(COC!I46="","",COC!I46)</f>
        <v/>
      </c>
      <c r="J33" t="str">
        <f>IF(COCRollupTbl[[#This Row],[COC Loc.]]="","",SplitString(COCRollupTbl[[#This Row],[COC Loc.]],2,", ")&amp;", "&amp;SplitString(COCRollupTbl[[#This Row],[COC Loc.]],3,", "))</f>
        <v/>
      </c>
      <c r="K33" t="str">
        <f>IF(COCRollupTbl[[#This Row],[COC Loc.]]="","",COCRollupTbl[[#This Row],[Source]]&amp;", "&amp;COCRollupTbl[[#This Row],[Type]]&amp;", "&amp;COCRollupTbl[[#This Row],[COC Loc.]])</f>
        <v/>
      </c>
      <c r="L33" t="str">
        <f>IF(COC!E46="","",COC!E46)</f>
        <v/>
      </c>
      <c r="M33" t="str">
        <f>IF(COC!H46="","",COC!H46)</f>
        <v/>
      </c>
      <c r="N33" t="str">
        <f>IF(COCRollupTbl[[#This Row],[COC Loc.]]="","",SplitString(COCRollupTbl[[#This Row],[COC Loc.]],1,", "))</f>
        <v/>
      </c>
      <c r="O33" t="str">
        <f>IF(COCRollupTbl[[#This Row],[COC Loc.]]="","",SplitString(COCRollupTbl[[#This Row],[COC Loc.]],2,", "))</f>
        <v/>
      </c>
      <c r="T33" t="str">
        <f>IF(COC!K46="","",COC!K46)</f>
        <v/>
      </c>
      <c r="U33" t="str">
        <f>IF(COC!L46="","",COC!L46)</f>
        <v/>
      </c>
      <c r="V33" t="str">
        <f>IF(COC!M46="","",COC!M46)</f>
        <v/>
      </c>
      <c r="X3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4" spans="2:25" x14ac:dyDescent="0.2">
      <c r="B34">
        <f>COC!A47</f>
        <v>33</v>
      </c>
      <c r="C34" t="str">
        <f>COC!O47</f>
        <v/>
      </c>
      <c r="D34" s="46" t="str">
        <f>IF(COC!C47="","",COC!C47)</f>
        <v/>
      </c>
      <c r="E34" s="37" t="str">
        <f>IF(COC!D47="","",COC!D47)</f>
        <v/>
      </c>
      <c r="G34" t="str">
        <f>IF(COC!I47="","",INDEX(COCDV[Facility],MATCH(COC!$I$6,COCDV[SAP Name],0)))</f>
        <v/>
      </c>
      <c r="H34" t="str">
        <f>IF(COC!I47="","",INDEX(COCDV[Address],MATCH(COC!$I$6,COCDV[SAP Name],0)))</f>
        <v/>
      </c>
      <c r="I34" t="str">
        <f>IF(COC!I47="","",COC!I47)</f>
        <v/>
      </c>
      <c r="J34" t="str">
        <f>IF(COCRollupTbl[[#This Row],[COC Loc.]]="","",SplitString(COCRollupTbl[[#This Row],[COC Loc.]],2,", ")&amp;", "&amp;SplitString(COCRollupTbl[[#This Row],[COC Loc.]],3,", "))</f>
        <v/>
      </c>
      <c r="K34" t="str">
        <f>IF(COCRollupTbl[[#This Row],[COC Loc.]]="","",COCRollupTbl[[#This Row],[Source]]&amp;", "&amp;COCRollupTbl[[#This Row],[Type]]&amp;", "&amp;COCRollupTbl[[#This Row],[COC Loc.]])</f>
        <v/>
      </c>
      <c r="L34" t="str">
        <f>IF(COC!E47="","",COC!E47)</f>
        <v/>
      </c>
      <c r="M34" t="str">
        <f>IF(COC!H47="","",COC!H47)</f>
        <v/>
      </c>
      <c r="N34" t="str">
        <f>IF(COCRollupTbl[[#This Row],[COC Loc.]]="","",SplitString(COCRollupTbl[[#This Row],[COC Loc.]],1,", "))</f>
        <v/>
      </c>
      <c r="O34" t="str">
        <f>IF(COCRollupTbl[[#This Row],[COC Loc.]]="","",SplitString(COCRollupTbl[[#This Row],[COC Loc.]],2,", "))</f>
        <v/>
      </c>
      <c r="T34" t="str">
        <f>IF(COC!K47="","",COC!K47)</f>
        <v/>
      </c>
      <c r="U34" t="str">
        <f>IF(COC!L47="","",COC!L47)</f>
        <v/>
      </c>
      <c r="V34" t="str">
        <f>IF(COC!M47="","",COC!M47)</f>
        <v/>
      </c>
      <c r="X3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5" spans="2:25" x14ac:dyDescent="0.2">
      <c r="B35">
        <f>COC!A48</f>
        <v>34</v>
      </c>
      <c r="C35" t="str">
        <f>COC!O48</f>
        <v/>
      </c>
      <c r="D35" s="46" t="str">
        <f>IF(COC!C48="","",COC!C48)</f>
        <v/>
      </c>
      <c r="E35" s="37" t="str">
        <f>IF(COC!D48="","",COC!D48)</f>
        <v/>
      </c>
      <c r="G35" t="str">
        <f>IF(COC!I48="","",INDEX(COCDV[Facility],MATCH(COC!$I$6,COCDV[SAP Name],0)))</f>
        <v/>
      </c>
      <c r="H35" t="str">
        <f>IF(COC!I48="","",INDEX(COCDV[Address],MATCH(COC!$I$6,COCDV[SAP Name],0)))</f>
        <v/>
      </c>
      <c r="I35" t="str">
        <f>IF(COC!I48="","",COC!I48)</f>
        <v/>
      </c>
      <c r="J35" t="str">
        <f>IF(COCRollupTbl[[#This Row],[COC Loc.]]="","",SplitString(COCRollupTbl[[#This Row],[COC Loc.]],2,", ")&amp;", "&amp;SplitString(COCRollupTbl[[#This Row],[COC Loc.]],3,", "))</f>
        <v/>
      </c>
      <c r="K35" t="str">
        <f>IF(COCRollupTbl[[#This Row],[COC Loc.]]="","",COCRollupTbl[[#This Row],[Source]]&amp;", "&amp;COCRollupTbl[[#This Row],[Type]]&amp;", "&amp;COCRollupTbl[[#This Row],[COC Loc.]])</f>
        <v/>
      </c>
      <c r="L35" t="str">
        <f>IF(COC!E48="","",COC!E48)</f>
        <v/>
      </c>
      <c r="M35" t="str">
        <f>IF(COC!H48="","",COC!H48)</f>
        <v/>
      </c>
      <c r="N35" t="str">
        <f>IF(COCRollupTbl[[#This Row],[COC Loc.]]="","",SplitString(COCRollupTbl[[#This Row],[COC Loc.]],1,", "))</f>
        <v/>
      </c>
      <c r="O35" t="str">
        <f>IF(COCRollupTbl[[#This Row],[COC Loc.]]="","",SplitString(COCRollupTbl[[#This Row],[COC Loc.]],2,", "))</f>
        <v/>
      </c>
      <c r="T35" t="str">
        <f>IF(COC!K48="","",COC!K48)</f>
        <v/>
      </c>
      <c r="U35" t="str">
        <f>IF(COC!L48="","",COC!L48)</f>
        <v/>
      </c>
      <c r="V35" t="str">
        <f>IF(COC!M48="","",COC!M48)</f>
        <v/>
      </c>
      <c r="X3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6" spans="2:25" x14ac:dyDescent="0.2">
      <c r="B36">
        <f>COC!A49</f>
        <v>35</v>
      </c>
      <c r="C36" t="str">
        <f>COC!O49</f>
        <v/>
      </c>
      <c r="D36" s="46" t="str">
        <f>IF(COC!C49="","",COC!C49)</f>
        <v/>
      </c>
      <c r="E36" s="37" t="str">
        <f>IF(COC!D49="","",COC!D49)</f>
        <v/>
      </c>
      <c r="G36" t="str">
        <f>IF(COC!I49="","",INDEX(COCDV[Facility],MATCH(COC!$I$6,COCDV[SAP Name],0)))</f>
        <v/>
      </c>
      <c r="H36" t="str">
        <f>IF(COC!I49="","",INDEX(COCDV[Address],MATCH(COC!$I$6,COCDV[SAP Name],0)))</f>
        <v/>
      </c>
      <c r="I36" t="str">
        <f>IF(COC!I49="","",COC!I49)</f>
        <v/>
      </c>
      <c r="J36" t="str">
        <f>IF(COCRollupTbl[[#This Row],[COC Loc.]]="","",SplitString(COCRollupTbl[[#This Row],[COC Loc.]],2,", ")&amp;", "&amp;SplitString(COCRollupTbl[[#This Row],[COC Loc.]],3,", "))</f>
        <v/>
      </c>
      <c r="K36" t="str">
        <f>IF(COCRollupTbl[[#This Row],[COC Loc.]]="","",COCRollupTbl[[#This Row],[Source]]&amp;", "&amp;COCRollupTbl[[#This Row],[Type]]&amp;", "&amp;COCRollupTbl[[#This Row],[COC Loc.]])</f>
        <v/>
      </c>
      <c r="L36" t="str">
        <f>IF(COC!E49="","",COC!E49)</f>
        <v/>
      </c>
      <c r="M36" t="str">
        <f>IF(COC!H49="","",COC!H49)</f>
        <v/>
      </c>
      <c r="N36" t="str">
        <f>IF(COCRollupTbl[[#This Row],[COC Loc.]]="","",SplitString(COCRollupTbl[[#This Row],[COC Loc.]],1,", "))</f>
        <v/>
      </c>
      <c r="O36" t="str">
        <f>IF(COCRollupTbl[[#This Row],[COC Loc.]]="","",SplitString(COCRollupTbl[[#This Row],[COC Loc.]],2,", "))</f>
        <v/>
      </c>
      <c r="T36" t="str">
        <f>IF(COC!K49="","",COC!K49)</f>
        <v/>
      </c>
      <c r="U36" t="str">
        <f>IF(COC!L49="","",COC!L49)</f>
        <v/>
      </c>
      <c r="V36" t="str">
        <f>IF(COC!M49="","",COC!M49)</f>
        <v/>
      </c>
      <c r="X3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7" spans="2:25" x14ac:dyDescent="0.2">
      <c r="B37">
        <f>COC!A50</f>
        <v>36</v>
      </c>
      <c r="C37" t="str">
        <f>COC!O50</f>
        <v/>
      </c>
      <c r="D37" s="46" t="str">
        <f>IF(COC!C50="","",COC!C50)</f>
        <v/>
      </c>
      <c r="E37" s="37" t="str">
        <f>IF(COC!D50="","",COC!D50)</f>
        <v/>
      </c>
      <c r="G37" t="str">
        <f>IF(COC!I50="","",INDEX(COCDV[Facility],MATCH(COC!$I$6,COCDV[SAP Name],0)))</f>
        <v/>
      </c>
      <c r="H37" t="str">
        <f>IF(COC!I50="","",INDEX(COCDV[Address],MATCH(COC!$I$6,COCDV[SAP Name],0)))</f>
        <v/>
      </c>
      <c r="I37" t="str">
        <f>IF(COC!I50="","",COC!I50)</f>
        <v/>
      </c>
      <c r="J37" t="str">
        <f>IF(COCRollupTbl[[#This Row],[COC Loc.]]="","",SplitString(COCRollupTbl[[#This Row],[COC Loc.]],2,", ")&amp;", "&amp;SplitString(COCRollupTbl[[#This Row],[COC Loc.]],3,", "))</f>
        <v/>
      </c>
      <c r="K37" t="str">
        <f>IF(COCRollupTbl[[#This Row],[COC Loc.]]="","",COCRollupTbl[[#This Row],[Source]]&amp;", "&amp;COCRollupTbl[[#This Row],[Type]]&amp;", "&amp;COCRollupTbl[[#This Row],[COC Loc.]])</f>
        <v/>
      </c>
      <c r="L37" t="str">
        <f>IF(COC!E50="","",COC!E50)</f>
        <v/>
      </c>
      <c r="M37" t="str">
        <f>IF(COC!H50="","",COC!H50)</f>
        <v/>
      </c>
      <c r="N37" t="str">
        <f>IF(COCRollupTbl[[#This Row],[COC Loc.]]="","",SplitString(COCRollupTbl[[#This Row],[COC Loc.]],1,", "))</f>
        <v/>
      </c>
      <c r="O37" t="str">
        <f>IF(COCRollupTbl[[#This Row],[COC Loc.]]="","",SplitString(COCRollupTbl[[#This Row],[COC Loc.]],2,", "))</f>
        <v/>
      </c>
      <c r="T37" t="str">
        <f>IF(COC!K50="","",COC!K50)</f>
        <v/>
      </c>
      <c r="U37" t="str">
        <f>IF(COC!L50="","",COC!L50)</f>
        <v/>
      </c>
      <c r="V37" t="str">
        <f>IF(COC!M50="","",COC!M50)</f>
        <v/>
      </c>
      <c r="X3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8" spans="2:25" x14ac:dyDescent="0.2">
      <c r="B38">
        <f>COC!A51</f>
        <v>37</v>
      </c>
      <c r="C38" t="str">
        <f>COC!O51</f>
        <v/>
      </c>
      <c r="D38" s="46" t="str">
        <f>IF(COC!C51="","",COC!C51)</f>
        <v/>
      </c>
      <c r="E38" s="37" t="str">
        <f>IF(COC!D51="","",COC!D51)</f>
        <v/>
      </c>
      <c r="G38" t="str">
        <f>IF(COC!I51="","",INDEX(COCDV[Facility],MATCH(COC!$I$6,COCDV[SAP Name],0)))</f>
        <v/>
      </c>
      <c r="H38" t="str">
        <f>IF(COC!I51="","",INDEX(COCDV[Address],MATCH(COC!$I$6,COCDV[SAP Name],0)))</f>
        <v/>
      </c>
      <c r="I38" t="str">
        <f>IF(COC!I51="","",COC!I51)</f>
        <v/>
      </c>
      <c r="J38" t="str">
        <f>IF(COCRollupTbl[[#This Row],[COC Loc.]]="","",SplitString(COCRollupTbl[[#This Row],[COC Loc.]],2,", ")&amp;", "&amp;SplitString(COCRollupTbl[[#This Row],[COC Loc.]],3,", "))</f>
        <v/>
      </c>
      <c r="K38" t="str">
        <f>IF(COCRollupTbl[[#This Row],[COC Loc.]]="","",COCRollupTbl[[#This Row],[Source]]&amp;", "&amp;COCRollupTbl[[#This Row],[Type]]&amp;", "&amp;COCRollupTbl[[#This Row],[COC Loc.]])</f>
        <v/>
      </c>
      <c r="L38" t="str">
        <f>IF(COC!E51="","",COC!E51)</f>
        <v/>
      </c>
      <c r="M38" t="str">
        <f>IF(COC!H51="","",COC!H51)</f>
        <v/>
      </c>
      <c r="N38" t="str">
        <f>IF(COCRollupTbl[[#This Row],[COC Loc.]]="","",SplitString(COCRollupTbl[[#This Row],[COC Loc.]],1,", "))</f>
        <v/>
      </c>
      <c r="O38" t="str">
        <f>IF(COCRollupTbl[[#This Row],[COC Loc.]]="","",SplitString(COCRollupTbl[[#This Row],[COC Loc.]],2,", "))</f>
        <v/>
      </c>
      <c r="T38" t="str">
        <f>IF(COC!K51="","",COC!K51)</f>
        <v/>
      </c>
      <c r="U38" t="str">
        <f>IF(COC!L51="","",COC!L51)</f>
        <v/>
      </c>
      <c r="V38" t="str">
        <f>IF(COC!M51="","",COC!M51)</f>
        <v/>
      </c>
      <c r="X3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9" spans="2:25" x14ac:dyDescent="0.2">
      <c r="B39">
        <f>COC!A52</f>
        <v>38</v>
      </c>
      <c r="C39" t="str">
        <f>COC!O52</f>
        <v/>
      </c>
      <c r="D39" s="46" t="str">
        <f>IF(COC!C52="","",COC!C52)</f>
        <v/>
      </c>
      <c r="E39" s="37" t="str">
        <f>IF(COC!D52="","",COC!D52)</f>
        <v/>
      </c>
      <c r="G39" t="str">
        <f>IF(COC!I52="","",INDEX(COCDV[Facility],MATCH(COC!$I$6,COCDV[SAP Name],0)))</f>
        <v/>
      </c>
      <c r="H39" t="str">
        <f>IF(COC!I52="","",INDEX(COCDV[Address],MATCH(COC!$I$6,COCDV[SAP Name],0)))</f>
        <v/>
      </c>
      <c r="I39" t="str">
        <f>IF(COC!I52="","",COC!I52)</f>
        <v/>
      </c>
      <c r="J39" t="str">
        <f>IF(COCRollupTbl[[#This Row],[COC Loc.]]="","",SplitString(COCRollupTbl[[#This Row],[COC Loc.]],2,", ")&amp;", "&amp;SplitString(COCRollupTbl[[#This Row],[COC Loc.]],3,", "))</f>
        <v/>
      </c>
      <c r="K39" t="str">
        <f>IF(COCRollupTbl[[#This Row],[COC Loc.]]="","",COCRollupTbl[[#This Row],[Source]]&amp;", "&amp;COCRollupTbl[[#This Row],[Type]]&amp;", "&amp;COCRollupTbl[[#This Row],[COC Loc.]])</f>
        <v/>
      </c>
      <c r="L39" t="str">
        <f>IF(COC!E52="","",COC!E52)</f>
        <v/>
      </c>
      <c r="M39" t="str">
        <f>IF(COC!H52="","",COC!H52)</f>
        <v/>
      </c>
      <c r="N39" t="str">
        <f>IF(COCRollupTbl[[#This Row],[COC Loc.]]="","",SplitString(COCRollupTbl[[#This Row],[COC Loc.]],1,", "))</f>
        <v/>
      </c>
      <c r="O39" t="str">
        <f>IF(COCRollupTbl[[#This Row],[COC Loc.]]="","",SplitString(COCRollupTbl[[#This Row],[COC Loc.]],2,", "))</f>
        <v/>
      </c>
      <c r="T39" t="str">
        <f>IF(COC!K52="","",COC!K52)</f>
        <v/>
      </c>
      <c r="U39" t="str">
        <f>IF(COC!L52="","",COC!L52)</f>
        <v/>
      </c>
      <c r="V39" t="str">
        <f>IF(COC!M52="","",COC!M52)</f>
        <v/>
      </c>
      <c r="X3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0" spans="2:25" x14ac:dyDescent="0.2">
      <c r="B40">
        <f>COC!A53</f>
        <v>39</v>
      </c>
      <c r="C40" t="str">
        <f>COC!O53</f>
        <v/>
      </c>
      <c r="D40" s="46" t="str">
        <f>IF(COC!C53="","",COC!C53)</f>
        <v/>
      </c>
      <c r="E40" s="37" t="str">
        <f>IF(COC!D53="","",COC!D53)</f>
        <v/>
      </c>
      <c r="G40" t="str">
        <f>IF(COC!I53="","",INDEX(COCDV[Facility],MATCH(COC!$I$6,COCDV[SAP Name],0)))</f>
        <v/>
      </c>
      <c r="H40" t="str">
        <f>IF(COC!I53="","",INDEX(COCDV[Address],MATCH(COC!$I$6,COCDV[SAP Name],0)))</f>
        <v/>
      </c>
      <c r="I40" t="str">
        <f>IF(COC!I53="","",COC!I53)</f>
        <v/>
      </c>
      <c r="J40" t="str">
        <f>IF(COCRollupTbl[[#This Row],[COC Loc.]]="","",SplitString(COCRollupTbl[[#This Row],[COC Loc.]],2,", ")&amp;", "&amp;SplitString(COCRollupTbl[[#This Row],[COC Loc.]],3,", "))</f>
        <v/>
      </c>
      <c r="K40" t="str">
        <f>IF(COCRollupTbl[[#This Row],[COC Loc.]]="","",COCRollupTbl[[#This Row],[Source]]&amp;", "&amp;COCRollupTbl[[#This Row],[Type]]&amp;", "&amp;COCRollupTbl[[#This Row],[COC Loc.]])</f>
        <v/>
      </c>
      <c r="L40" t="str">
        <f>IF(COC!E53="","",COC!E53)</f>
        <v/>
      </c>
      <c r="M40" t="str">
        <f>IF(COC!H53="","",COC!H53)</f>
        <v/>
      </c>
      <c r="N40" t="str">
        <f>IF(COCRollupTbl[[#This Row],[COC Loc.]]="","",SplitString(COCRollupTbl[[#This Row],[COC Loc.]],1,", "))</f>
        <v/>
      </c>
      <c r="O40" t="str">
        <f>IF(COCRollupTbl[[#This Row],[COC Loc.]]="","",SplitString(COCRollupTbl[[#This Row],[COC Loc.]],2,", "))</f>
        <v/>
      </c>
      <c r="T40" t="str">
        <f>IF(COC!K53="","",COC!K53)</f>
        <v/>
      </c>
      <c r="U40" t="str">
        <f>IF(COC!L53="","",COC!L53)</f>
        <v/>
      </c>
      <c r="V40" t="str">
        <f>IF(COC!M53="","",COC!M53)</f>
        <v/>
      </c>
      <c r="X4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1" spans="2:25" x14ac:dyDescent="0.2">
      <c r="B41">
        <f>COC!A54</f>
        <v>40</v>
      </c>
      <c r="C41" t="str">
        <f>COC!O54</f>
        <v/>
      </c>
      <c r="D41" s="46" t="str">
        <f>IF(COC!C54="","",COC!C54)</f>
        <v/>
      </c>
      <c r="E41" s="37" t="str">
        <f>IF(COC!D54="","",COC!D54)</f>
        <v/>
      </c>
      <c r="G41" t="str">
        <f>IF(COC!I54="","",INDEX(COCDV[Facility],MATCH(COC!$I$6,COCDV[SAP Name],0)))</f>
        <v/>
      </c>
      <c r="H41" t="str">
        <f>IF(COC!I54="","",INDEX(COCDV[Address],MATCH(COC!$I$6,COCDV[SAP Name],0)))</f>
        <v/>
      </c>
      <c r="I41" t="str">
        <f>IF(COC!I54="","",COC!I54)</f>
        <v/>
      </c>
      <c r="J41" t="str">
        <f>IF(COCRollupTbl[[#This Row],[COC Loc.]]="","",SplitString(COCRollupTbl[[#This Row],[COC Loc.]],2,", ")&amp;", "&amp;SplitString(COCRollupTbl[[#This Row],[COC Loc.]],3,", "))</f>
        <v/>
      </c>
      <c r="K41" t="str">
        <f>IF(COCRollupTbl[[#This Row],[COC Loc.]]="","",COCRollupTbl[[#This Row],[Source]]&amp;", "&amp;COCRollupTbl[[#This Row],[Type]]&amp;", "&amp;COCRollupTbl[[#This Row],[COC Loc.]])</f>
        <v/>
      </c>
      <c r="L41" t="str">
        <f>IF(COC!E54="","",COC!E54)</f>
        <v/>
      </c>
      <c r="M41" t="str">
        <f>IF(COC!H54="","",COC!H54)</f>
        <v/>
      </c>
      <c r="N41" t="str">
        <f>IF(COCRollupTbl[[#This Row],[COC Loc.]]="","",SplitString(COCRollupTbl[[#This Row],[COC Loc.]],1,", "))</f>
        <v/>
      </c>
      <c r="O41" t="str">
        <f>IF(COCRollupTbl[[#This Row],[COC Loc.]]="","",SplitString(COCRollupTbl[[#This Row],[COC Loc.]],2,", "))</f>
        <v/>
      </c>
      <c r="T41" t="str">
        <f>IF(COC!K54="","",COC!K54)</f>
        <v/>
      </c>
      <c r="U41" t="str">
        <f>IF(COC!L54="","",COC!L54)</f>
        <v/>
      </c>
      <c r="V41" t="str">
        <f>IF(COC!M54="","",COC!M54)</f>
        <v/>
      </c>
      <c r="X4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2" spans="2:25" x14ac:dyDescent="0.2">
      <c r="B42">
        <f>COC!A55</f>
        <v>41</v>
      </c>
      <c r="C42" t="str">
        <f>COC!O55</f>
        <v/>
      </c>
      <c r="D42" s="46" t="str">
        <f>IF(COC!C55="","",COC!C55)</f>
        <v/>
      </c>
      <c r="E42" s="37" t="str">
        <f>IF(COC!D55="","",COC!D55)</f>
        <v/>
      </c>
      <c r="G42" t="str">
        <f>IF(COC!I55="","",INDEX(COCDV[Facility],MATCH(COC!$I$6,COCDV[SAP Name],0)))</f>
        <v/>
      </c>
      <c r="H42" t="str">
        <f>IF(COC!I55="","",INDEX(COCDV[Address],MATCH(COC!$I$6,COCDV[SAP Name],0)))</f>
        <v/>
      </c>
      <c r="I42" t="str">
        <f>IF(COC!I55="","",COC!I55)</f>
        <v/>
      </c>
      <c r="J42" t="str">
        <f>IF(COCRollupTbl[[#This Row],[COC Loc.]]="","",SplitString(COCRollupTbl[[#This Row],[COC Loc.]],2,", ")&amp;", "&amp;SplitString(COCRollupTbl[[#This Row],[COC Loc.]],3,", "))</f>
        <v/>
      </c>
      <c r="K42" t="str">
        <f>IF(COCRollupTbl[[#This Row],[COC Loc.]]="","",COCRollupTbl[[#This Row],[Source]]&amp;", "&amp;COCRollupTbl[[#This Row],[Type]]&amp;", "&amp;COCRollupTbl[[#This Row],[COC Loc.]])</f>
        <v/>
      </c>
      <c r="L42" t="str">
        <f>IF(COC!E55="","",COC!E55)</f>
        <v/>
      </c>
      <c r="M42" t="str">
        <f>IF(COC!H55="","",COC!H55)</f>
        <v/>
      </c>
      <c r="N42" t="str">
        <f>IF(COCRollupTbl[[#This Row],[COC Loc.]]="","",SplitString(COCRollupTbl[[#This Row],[COC Loc.]],1,", "))</f>
        <v/>
      </c>
      <c r="O42" t="str">
        <f>IF(COCRollupTbl[[#This Row],[COC Loc.]]="","",SplitString(COCRollupTbl[[#This Row],[COC Loc.]],2,", "))</f>
        <v/>
      </c>
      <c r="T42" t="str">
        <f>IF(COC!K55="","",COC!K55)</f>
        <v/>
      </c>
      <c r="U42" t="str">
        <f>IF(COC!L55="","",COC!L55)</f>
        <v/>
      </c>
      <c r="V42" t="str">
        <f>IF(COC!M55="","",COC!M55)</f>
        <v/>
      </c>
      <c r="X4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3" spans="2:25" x14ac:dyDescent="0.2">
      <c r="B43">
        <f>COC!A56</f>
        <v>42</v>
      </c>
      <c r="C43" t="str">
        <f>COC!O56</f>
        <v/>
      </c>
      <c r="D43" s="46" t="str">
        <f>IF(COC!C56="","",COC!C56)</f>
        <v/>
      </c>
      <c r="E43" s="37" t="str">
        <f>IF(COC!D56="","",COC!D56)</f>
        <v/>
      </c>
      <c r="G43" t="str">
        <f>IF(COC!I56="","",INDEX(COCDV[Facility],MATCH(COC!$I$6,COCDV[SAP Name],0)))</f>
        <v/>
      </c>
      <c r="H43" t="str">
        <f>IF(COC!I56="","",INDEX(COCDV[Address],MATCH(COC!$I$6,COCDV[SAP Name],0)))</f>
        <v/>
      </c>
      <c r="I43" t="str">
        <f>IF(COC!I56="","",COC!I56)</f>
        <v/>
      </c>
      <c r="J43" t="str">
        <f>IF(COCRollupTbl[[#This Row],[COC Loc.]]="","",SplitString(COCRollupTbl[[#This Row],[COC Loc.]],2,", ")&amp;", "&amp;SplitString(COCRollupTbl[[#This Row],[COC Loc.]],3,", "))</f>
        <v/>
      </c>
      <c r="K43" t="str">
        <f>IF(COCRollupTbl[[#This Row],[COC Loc.]]="","",COCRollupTbl[[#This Row],[Source]]&amp;", "&amp;COCRollupTbl[[#This Row],[Type]]&amp;", "&amp;COCRollupTbl[[#This Row],[COC Loc.]])</f>
        <v/>
      </c>
      <c r="L43" t="str">
        <f>IF(COC!E56="","",COC!E56)</f>
        <v/>
      </c>
      <c r="M43" t="str">
        <f>IF(COC!H56="","",COC!H56)</f>
        <v/>
      </c>
      <c r="N43" t="str">
        <f>IF(COCRollupTbl[[#This Row],[COC Loc.]]="","",SplitString(COCRollupTbl[[#This Row],[COC Loc.]],1,", "))</f>
        <v/>
      </c>
      <c r="O43" t="str">
        <f>IF(COCRollupTbl[[#This Row],[COC Loc.]]="","",SplitString(COCRollupTbl[[#This Row],[COC Loc.]],2,", "))</f>
        <v/>
      </c>
      <c r="T43" t="str">
        <f>IF(COC!K56="","",COC!K56)</f>
        <v/>
      </c>
      <c r="U43" t="str">
        <f>IF(COC!L56="","",COC!L56)</f>
        <v/>
      </c>
      <c r="V43" t="str">
        <f>IF(COC!M56="","",COC!M56)</f>
        <v/>
      </c>
      <c r="X4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4" spans="2:25" x14ac:dyDescent="0.2">
      <c r="B44">
        <f>COC!A57</f>
        <v>43</v>
      </c>
      <c r="C44" t="str">
        <f>COC!O57</f>
        <v/>
      </c>
      <c r="D44" s="46" t="str">
        <f>IF(COC!C57="","",COC!C57)</f>
        <v/>
      </c>
      <c r="E44" s="37" t="str">
        <f>IF(COC!D57="","",COC!D57)</f>
        <v/>
      </c>
      <c r="G44" t="str">
        <f>IF(COC!I57="","",INDEX(COCDV[Facility],MATCH(COC!$I$6,COCDV[SAP Name],0)))</f>
        <v/>
      </c>
      <c r="H44" t="str">
        <f>IF(COC!I57="","",INDEX(COCDV[Address],MATCH(COC!$I$6,COCDV[SAP Name],0)))</f>
        <v/>
      </c>
      <c r="I44" t="str">
        <f>IF(COC!I57="","",COC!I57)</f>
        <v/>
      </c>
      <c r="J44" t="str">
        <f>IF(COCRollupTbl[[#This Row],[COC Loc.]]="","",SplitString(COCRollupTbl[[#This Row],[COC Loc.]],2,", ")&amp;", "&amp;SplitString(COCRollupTbl[[#This Row],[COC Loc.]],3,", "))</f>
        <v/>
      </c>
      <c r="K44" t="str">
        <f>IF(COCRollupTbl[[#This Row],[COC Loc.]]="","",COCRollupTbl[[#This Row],[Source]]&amp;", "&amp;COCRollupTbl[[#This Row],[Type]]&amp;", "&amp;COCRollupTbl[[#This Row],[COC Loc.]])</f>
        <v/>
      </c>
      <c r="L44" t="str">
        <f>IF(COC!E57="","",COC!E57)</f>
        <v/>
      </c>
      <c r="M44" t="str">
        <f>IF(COC!H57="","",COC!H57)</f>
        <v/>
      </c>
      <c r="N44" t="str">
        <f>IF(COCRollupTbl[[#This Row],[COC Loc.]]="","",SplitString(COCRollupTbl[[#This Row],[COC Loc.]],1,", "))</f>
        <v/>
      </c>
      <c r="O44" t="str">
        <f>IF(COCRollupTbl[[#This Row],[COC Loc.]]="","",SplitString(COCRollupTbl[[#This Row],[COC Loc.]],2,", "))</f>
        <v/>
      </c>
      <c r="T44" t="str">
        <f>IF(COC!K57="","",COC!K57)</f>
        <v/>
      </c>
      <c r="U44" t="str">
        <f>IF(COC!L57="","",COC!L57)</f>
        <v/>
      </c>
      <c r="V44" t="str">
        <f>IF(COC!M57="","",COC!M57)</f>
        <v/>
      </c>
      <c r="X4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5" spans="2:25" x14ac:dyDescent="0.2">
      <c r="B45">
        <f>COC!A58</f>
        <v>44</v>
      </c>
      <c r="C45" t="str">
        <f>COC!O58</f>
        <v/>
      </c>
      <c r="D45" s="46" t="str">
        <f>IF(COC!C58="","",COC!C58)</f>
        <v/>
      </c>
      <c r="E45" s="37" t="str">
        <f>IF(COC!D58="","",COC!D58)</f>
        <v/>
      </c>
      <c r="G45" t="str">
        <f>IF(COC!I58="","",INDEX(COCDV[Facility],MATCH(COC!$I$6,COCDV[SAP Name],0)))</f>
        <v/>
      </c>
      <c r="H45" t="str">
        <f>IF(COC!I58="","",INDEX(COCDV[Address],MATCH(COC!$I$6,COCDV[SAP Name],0)))</f>
        <v/>
      </c>
      <c r="I45" t="str">
        <f>IF(COC!I58="","",COC!I58)</f>
        <v/>
      </c>
      <c r="J45" t="str">
        <f>IF(COCRollupTbl[[#This Row],[COC Loc.]]="","",SplitString(COCRollupTbl[[#This Row],[COC Loc.]],2,", ")&amp;", "&amp;SplitString(COCRollupTbl[[#This Row],[COC Loc.]],3,", "))</f>
        <v/>
      </c>
      <c r="K45" t="str">
        <f>IF(COCRollupTbl[[#This Row],[COC Loc.]]="","",COCRollupTbl[[#This Row],[Source]]&amp;", "&amp;COCRollupTbl[[#This Row],[Type]]&amp;", "&amp;COCRollupTbl[[#This Row],[COC Loc.]])</f>
        <v/>
      </c>
      <c r="L45" t="str">
        <f>IF(COC!E58="","",COC!E58)</f>
        <v/>
      </c>
      <c r="M45" t="str">
        <f>IF(COC!H58="","",COC!H58)</f>
        <v/>
      </c>
      <c r="N45" t="str">
        <f>IF(COCRollupTbl[[#This Row],[COC Loc.]]="","",SplitString(COCRollupTbl[[#This Row],[COC Loc.]],1,", "))</f>
        <v/>
      </c>
      <c r="O45" t="str">
        <f>IF(COCRollupTbl[[#This Row],[COC Loc.]]="","",SplitString(COCRollupTbl[[#This Row],[COC Loc.]],2,", "))</f>
        <v/>
      </c>
      <c r="T45" t="str">
        <f>IF(COC!K58="","",COC!K58)</f>
        <v/>
      </c>
      <c r="U45" t="str">
        <f>IF(COC!L58="","",COC!L58)</f>
        <v/>
      </c>
      <c r="V45" t="str">
        <f>IF(COC!M58="","",COC!M58)</f>
        <v/>
      </c>
      <c r="X4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6" spans="2:25" x14ac:dyDescent="0.2">
      <c r="B46">
        <f>COC!A59</f>
        <v>45</v>
      </c>
      <c r="C46" t="str">
        <f>COC!O59</f>
        <v/>
      </c>
      <c r="D46" s="46" t="str">
        <f>IF(COC!C59="","",COC!C59)</f>
        <v/>
      </c>
      <c r="E46" s="37" t="str">
        <f>IF(COC!D59="","",COC!D59)</f>
        <v/>
      </c>
      <c r="G46" t="str">
        <f>IF(COC!I59="","",INDEX(COCDV[Facility],MATCH(COC!$I$6,COCDV[SAP Name],0)))</f>
        <v/>
      </c>
      <c r="H46" t="str">
        <f>IF(COC!I59="","",INDEX(COCDV[Address],MATCH(COC!$I$6,COCDV[SAP Name],0)))</f>
        <v/>
      </c>
      <c r="I46" t="str">
        <f>IF(COC!I59="","",COC!I59)</f>
        <v/>
      </c>
      <c r="J46" t="str">
        <f>IF(COCRollupTbl[[#This Row],[COC Loc.]]="","",SplitString(COCRollupTbl[[#This Row],[COC Loc.]],2,", ")&amp;", "&amp;SplitString(COCRollupTbl[[#This Row],[COC Loc.]],3,", "))</f>
        <v/>
      </c>
      <c r="K46" t="str">
        <f>IF(COCRollupTbl[[#This Row],[COC Loc.]]="","",COCRollupTbl[[#This Row],[Source]]&amp;", "&amp;COCRollupTbl[[#This Row],[Type]]&amp;", "&amp;COCRollupTbl[[#This Row],[COC Loc.]])</f>
        <v/>
      </c>
      <c r="L46" t="str">
        <f>IF(COC!E59="","",COC!E59)</f>
        <v/>
      </c>
      <c r="M46" t="str">
        <f>IF(COC!H59="","",COC!H59)</f>
        <v/>
      </c>
      <c r="N46" t="str">
        <f>IF(COCRollupTbl[[#This Row],[COC Loc.]]="","",SplitString(COCRollupTbl[[#This Row],[COC Loc.]],1,", "))</f>
        <v/>
      </c>
      <c r="O46" t="str">
        <f>IF(COCRollupTbl[[#This Row],[COC Loc.]]="","",SplitString(COCRollupTbl[[#This Row],[COC Loc.]],2,", "))</f>
        <v/>
      </c>
      <c r="T46" t="str">
        <f>IF(COC!K59="","",COC!K59)</f>
        <v/>
      </c>
      <c r="U46" t="str">
        <f>IF(COC!L59="","",COC!L59)</f>
        <v/>
      </c>
      <c r="V46" t="str">
        <f>IF(COC!M59="","",COC!M59)</f>
        <v/>
      </c>
      <c r="X4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7" spans="2:25" x14ac:dyDescent="0.2">
      <c r="B47">
        <f>COC!A60</f>
        <v>46</v>
      </c>
      <c r="C47" t="str">
        <f>COC!O60</f>
        <v/>
      </c>
      <c r="D47" s="46" t="str">
        <f>IF(COC!C60="","",COC!C60)</f>
        <v/>
      </c>
      <c r="E47" s="37" t="str">
        <f>IF(COC!D60="","",COC!D60)</f>
        <v/>
      </c>
      <c r="G47" t="str">
        <f>IF(COC!I60="","",INDEX(COCDV[Facility],MATCH(COC!$I$6,COCDV[SAP Name],0)))</f>
        <v/>
      </c>
      <c r="H47" t="str">
        <f>IF(COC!I60="","",INDEX(COCDV[Address],MATCH(COC!$I$6,COCDV[SAP Name],0)))</f>
        <v/>
      </c>
      <c r="I47" t="str">
        <f>IF(COC!I60="","",COC!I60)</f>
        <v/>
      </c>
      <c r="J47" t="str">
        <f>IF(COCRollupTbl[[#This Row],[COC Loc.]]="","",SplitString(COCRollupTbl[[#This Row],[COC Loc.]],2,", ")&amp;", "&amp;SplitString(COCRollupTbl[[#This Row],[COC Loc.]],3,", "))</f>
        <v/>
      </c>
      <c r="K47" t="str">
        <f>IF(COCRollupTbl[[#This Row],[COC Loc.]]="","",COCRollupTbl[[#This Row],[Source]]&amp;", "&amp;COCRollupTbl[[#This Row],[Type]]&amp;", "&amp;COCRollupTbl[[#This Row],[COC Loc.]])</f>
        <v/>
      </c>
      <c r="L47" t="str">
        <f>IF(COC!E60="","",COC!E60)</f>
        <v/>
      </c>
      <c r="M47" t="str">
        <f>IF(COC!H60="","",COC!H60)</f>
        <v/>
      </c>
      <c r="N47" t="str">
        <f>IF(COCRollupTbl[[#This Row],[COC Loc.]]="","",SplitString(COCRollupTbl[[#This Row],[COC Loc.]],1,", "))</f>
        <v/>
      </c>
      <c r="O47" t="str">
        <f>IF(COCRollupTbl[[#This Row],[COC Loc.]]="","",SplitString(COCRollupTbl[[#This Row],[COC Loc.]],2,", "))</f>
        <v/>
      </c>
      <c r="T47" t="str">
        <f>IF(COC!K60="","",COC!K60)</f>
        <v/>
      </c>
      <c r="U47" t="str">
        <f>IF(COC!L60="","",COC!L60)</f>
        <v/>
      </c>
      <c r="V47" t="str">
        <f>IF(COC!M60="","",COC!M60)</f>
        <v/>
      </c>
      <c r="X4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8" spans="2:25" x14ac:dyDescent="0.2">
      <c r="B48">
        <f>COC!A61</f>
        <v>47</v>
      </c>
      <c r="C48" t="str">
        <f>COC!O61</f>
        <v/>
      </c>
      <c r="D48" s="46" t="str">
        <f>IF(COC!C61="","",COC!C61)</f>
        <v/>
      </c>
      <c r="E48" s="37" t="str">
        <f>IF(COC!D61="","",COC!D61)</f>
        <v/>
      </c>
      <c r="G48" t="str">
        <f>IF(COC!I61="","",INDEX(COCDV[Facility],MATCH(COC!$I$6,COCDV[SAP Name],0)))</f>
        <v/>
      </c>
      <c r="H48" t="str">
        <f>IF(COC!I61="","",INDEX(COCDV[Address],MATCH(COC!$I$6,COCDV[SAP Name],0)))</f>
        <v/>
      </c>
      <c r="I48" t="str">
        <f>IF(COC!I61="","",COC!I61)</f>
        <v/>
      </c>
      <c r="J48" t="str">
        <f>IF(COCRollupTbl[[#This Row],[COC Loc.]]="","",SplitString(COCRollupTbl[[#This Row],[COC Loc.]],2,", ")&amp;", "&amp;SplitString(COCRollupTbl[[#This Row],[COC Loc.]],3,", "))</f>
        <v/>
      </c>
      <c r="K48" t="str">
        <f>IF(COCRollupTbl[[#This Row],[COC Loc.]]="","",COCRollupTbl[[#This Row],[Source]]&amp;", "&amp;COCRollupTbl[[#This Row],[Type]]&amp;", "&amp;COCRollupTbl[[#This Row],[COC Loc.]])</f>
        <v/>
      </c>
      <c r="L48" t="str">
        <f>IF(COC!E61="","",COC!E61)</f>
        <v/>
      </c>
      <c r="M48" t="str">
        <f>IF(COC!H61="","",COC!H61)</f>
        <v/>
      </c>
      <c r="N48" t="str">
        <f>IF(COCRollupTbl[[#This Row],[COC Loc.]]="","",SplitString(COCRollupTbl[[#This Row],[COC Loc.]],1,", "))</f>
        <v/>
      </c>
      <c r="O48" t="str">
        <f>IF(COCRollupTbl[[#This Row],[COC Loc.]]="","",SplitString(COCRollupTbl[[#This Row],[COC Loc.]],2,", "))</f>
        <v/>
      </c>
      <c r="T48" t="str">
        <f>IF(COC!K61="","",COC!K61)</f>
        <v/>
      </c>
      <c r="U48" t="str">
        <f>IF(COC!L61="","",COC!L61)</f>
        <v/>
      </c>
      <c r="V48" t="str">
        <f>IF(COC!M61="","",COC!M61)</f>
        <v/>
      </c>
      <c r="X4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9" spans="2:25" x14ac:dyDescent="0.2">
      <c r="B49">
        <f>COC!A62</f>
        <v>48</v>
      </c>
      <c r="C49" t="str">
        <f>COC!O62</f>
        <v/>
      </c>
      <c r="D49" s="46" t="str">
        <f>IF(COC!C62="","",COC!C62)</f>
        <v/>
      </c>
      <c r="E49" s="37" t="str">
        <f>IF(COC!D62="","",COC!D62)</f>
        <v/>
      </c>
      <c r="G49" t="str">
        <f>IF(COC!I62="","",INDEX(COCDV[Facility],MATCH(COC!$I$6,COCDV[SAP Name],0)))</f>
        <v/>
      </c>
      <c r="H49" t="str">
        <f>IF(COC!I62="","",INDEX(COCDV[Address],MATCH(COC!$I$6,COCDV[SAP Name],0)))</f>
        <v/>
      </c>
      <c r="I49" t="str">
        <f>IF(COC!I62="","",COC!I62)</f>
        <v/>
      </c>
      <c r="J49" t="str">
        <f>IF(COCRollupTbl[[#This Row],[COC Loc.]]="","",SplitString(COCRollupTbl[[#This Row],[COC Loc.]],2,", ")&amp;", "&amp;SplitString(COCRollupTbl[[#This Row],[COC Loc.]],3,", "))</f>
        <v/>
      </c>
      <c r="K49" t="str">
        <f>IF(COCRollupTbl[[#This Row],[COC Loc.]]="","",COCRollupTbl[[#This Row],[Source]]&amp;", "&amp;COCRollupTbl[[#This Row],[Type]]&amp;", "&amp;COCRollupTbl[[#This Row],[COC Loc.]])</f>
        <v/>
      </c>
      <c r="L49" t="str">
        <f>IF(COC!E62="","",COC!E62)</f>
        <v/>
      </c>
      <c r="M49" t="str">
        <f>IF(COC!H62="","",COC!H62)</f>
        <v/>
      </c>
      <c r="N49" t="str">
        <f>IF(COCRollupTbl[[#This Row],[COC Loc.]]="","",SplitString(COCRollupTbl[[#This Row],[COC Loc.]],1,", "))</f>
        <v/>
      </c>
      <c r="O49" t="str">
        <f>IF(COCRollupTbl[[#This Row],[COC Loc.]]="","",SplitString(COCRollupTbl[[#This Row],[COC Loc.]],2,", "))</f>
        <v/>
      </c>
      <c r="T49" t="str">
        <f>IF(COC!K62="","",COC!K62)</f>
        <v/>
      </c>
      <c r="U49" t="str">
        <f>IF(COC!L62="","",COC!L62)</f>
        <v/>
      </c>
      <c r="V49" t="str">
        <f>IF(COC!M62="","",COC!M62)</f>
        <v/>
      </c>
      <c r="X4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0" spans="2:25" x14ac:dyDescent="0.2">
      <c r="B50">
        <f>COC!A63</f>
        <v>49</v>
      </c>
      <c r="C50" t="str">
        <f>COC!O63</f>
        <v/>
      </c>
      <c r="D50" s="46" t="str">
        <f>IF(COC!C63="","",COC!C63)</f>
        <v/>
      </c>
      <c r="E50" s="37" t="str">
        <f>IF(COC!D63="","",COC!D63)</f>
        <v/>
      </c>
      <c r="G50" t="str">
        <f>IF(COC!I63="","",INDEX(COCDV[Facility],MATCH(COC!$I$6,COCDV[SAP Name],0)))</f>
        <v/>
      </c>
      <c r="H50" t="str">
        <f>IF(COC!I63="","",INDEX(COCDV[Address],MATCH(COC!$I$6,COCDV[SAP Name],0)))</f>
        <v/>
      </c>
      <c r="I50" t="str">
        <f>IF(COC!I63="","",COC!I63)</f>
        <v/>
      </c>
      <c r="J50" t="str">
        <f>IF(COCRollupTbl[[#This Row],[COC Loc.]]="","",SplitString(COCRollupTbl[[#This Row],[COC Loc.]],2,", ")&amp;", "&amp;SplitString(COCRollupTbl[[#This Row],[COC Loc.]],3,", "))</f>
        <v/>
      </c>
      <c r="K50" t="str">
        <f>IF(COCRollupTbl[[#This Row],[COC Loc.]]="","",COCRollupTbl[[#This Row],[Source]]&amp;", "&amp;COCRollupTbl[[#This Row],[Type]]&amp;", "&amp;COCRollupTbl[[#This Row],[COC Loc.]])</f>
        <v/>
      </c>
      <c r="L50" t="str">
        <f>IF(COC!E63="","",COC!E63)</f>
        <v/>
      </c>
      <c r="M50" t="str">
        <f>IF(COC!H63="","",COC!H63)</f>
        <v/>
      </c>
      <c r="N50" t="str">
        <f>IF(COCRollupTbl[[#This Row],[COC Loc.]]="","",SplitString(COCRollupTbl[[#This Row],[COC Loc.]],1,", "))</f>
        <v/>
      </c>
      <c r="O50" t="str">
        <f>IF(COCRollupTbl[[#This Row],[COC Loc.]]="","",SplitString(COCRollupTbl[[#This Row],[COC Loc.]],2,", "))</f>
        <v/>
      </c>
      <c r="T50" t="str">
        <f>IF(COC!K63="","",COC!K63)</f>
        <v/>
      </c>
      <c r="U50" t="str">
        <f>IF(COC!L63="","",COC!L63)</f>
        <v/>
      </c>
      <c r="V50" t="str">
        <f>IF(COC!M63="","",COC!M63)</f>
        <v/>
      </c>
      <c r="X5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1" spans="2:25" x14ac:dyDescent="0.2">
      <c r="B51">
        <f>COC!A64</f>
        <v>50</v>
      </c>
      <c r="C51" t="str">
        <f>COC!O64</f>
        <v/>
      </c>
      <c r="D51" s="46" t="str">
        <f>IF(COC!C64="","",COC!C64)</f>
        <v/>
      </c>
      <c r="E51" s="37" t="str">
        <f>IF(COC!D64="","",COC!D64)</f>
        <v/>
      </c>
      <c r="G51" t="str">
        <f>IF(COC!I64="","",INDEX(COCDV[Facility],MATCH(COC!$I$6,COCDV[SAP Name],0)))</f>
        <v/>
      </c>
      <c r="H51" t="str">
        <f>IF(COC!I64="","",INDEX(COCDV[Address],MATCH(COC!$I$6,COCDV[SAP Name],0)))</f>
        <v/>
      </c>
      <c r="I51" t="str">
        <f>IF(COC!I64="","",COC!I64)</f>
        <v/>
      </c>
      <c r="J51" t="str">
        <f>IF(COCRollupTbl[[#This Row],[COC Loc.]]="","",SplitString(COCRollupTbl[[#This Row],[COC Loc.]],2,", ")&amp;", "&amp;SplitString(COCRollupTbl[[#This Row],[COC Loc.]],3,", "))</f>
        <v/>
      </c>
      <c r="K51" t="str">
        <f>IF(COCRollupTbl[[#This Row],[COC Loc.]]="","",COCRollupTbl[[#This Row],[Source]]&amp;", "&amp;COCRollupTbl[[#This Row],[Type]]&amp;", "&amp;COCRollupTbl[[#This Row],[COC Loc.]])</f>
        <v/>
      </c>
      <c r="L51" t="str">
        <f>IF(COC!E64="","",COC!E64)</f>
        <v/>
      </c>
      <c r="M51" t="str">
        <f>IF(COC!H64="","",COC!H64)</f>
        <v/>
      </c>
      <c r="N51" t="str">
        <f>IF(COCRollupTbl[[#This Row],[COC Loc.]]="","",SplitString(COCRollupTbl[[#This Row],[COC Loc.]],1,", "))</f>
        <v/>
      </c>
      <c r="O51" t="str">
        <f>IF(COCRollupTbl[[#This Row],[COC Loc.]]="","",SplitString(COCRollupTbl[[#This Row],[COC Loc.]],2,", "))</f>
        <v/>
      </c>
      <c r="T51" t="str">
        <f>IF(COC!K64="","",COC!K64)</f>
        <v/>
      </c>
      <c r="U51" t="str">
        <f>IF(COC!L64="","",COC!L64)</f>
        <v/>
      </c>
      <c r="V51" t="str">
        <f>IF(COC!M64="","",COC!M64)</f>
        <v/>
      </c>
      <c r="X5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2" spans="2:25" x14ac:dyDescent="0.2">
      <c r="B52">
        <f>COC!A65</f>
        <v>51</v>
      </c>
      <c r="C52" t="str">
        <f>COC!O65</f>
        <v/>
      </c>
      <c r="D52" s="46" t="str">
        <f>IF(COC!C65="","",COC!C65)</f>
        <v/>
      </c>
      <c r="E52" s="37" t="str">
        <f>IF(COC!D65="","",COC!D65)</f>
        <v/>
      </c>
      <c r="G52" t="str">
        <f>IF(COC!I65="","",INDEX(COCDV[Facility],MATCH(COC!$I$6,COCDV[SAP Name],0)))</f>
        <v/>
      </c>
      <c r="H52" t="str">
        <f>IF(COC!I65="","",INDEX(COCDV[Address],MATCH(COC!$I$6,COCDV[SAP Name],0)))</f>
        <v/>
      </c>
      <c r="I52" t="str">
        <f>IF(COC!I65="","",COC!I65)</f>
        <v/>
      </c>
      <c r="J52" t="str">
        <f>IF(COCRollupTbl[[#This Row],[COC Loc.]]="","",SplitString(COCRollupTbl[[#This Row],[COC Loc.]],2,", ")&amp;", "&amp;SplitString(COCRollupTbl[[#This Row],[COC Loc.]],3,", "))</f>
        <v/>
      </c>
      <c r="K52" t="str">
        <f>IF(COCRollupTbl[[#This Row],[COC Loc.]]="","",COCRollupTbl[[#This Row],[Source]]&amp;", "&amp;COCRollupTbl[[#This Row],[Type]]&amp;", "&amp;COCRollupTbl[[#This Row],[COC Loc.]])</f>
        <v/>
      </c>
      <c r="L52" t="str">
        <f>IF(COC!E65="","",COC!E65)</f>
        <v/>
      </c>
      <c r="M52" t="str">
        <f>IF(COC!H65="","",COC!H65)</f>
        <v/>
      </c>
      <c r="N52" t="str">
        <f>IF(COCRollupTbl[[#This Row],[COC Loc.]]="","",SplitString(COCRollupTbl[[#This Row],[COC Loc.]],1,", "))</f>
        <v/>
      </c>
      <c r="O52" t="str">
        <f>IF(COCRollupTbl[[#This Row],[COC Loc.]]="","",SplitString(COCRollupTbl[[#This Row],[COC Loc.]],2,", "))</f>
        <v/>
      </c>
      <c r="T52" t="str">
        <f>IF(COC!K65="","",COC!K65)</f>
        <v/>
      </c>
      <c r="U52" t="str">
        <f>IF(COC!L65="","",COC!L65)</f>
        <v/>
      </c>
      <c r="V52" t="str">
        <f>IF(COC!M65="","",COC!M65)</f>
        <v/>
      </c>
      <c r="X5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3" spans="2:25" x14ac:dyDescent="0.2">
      <c r="B53">
        <f>COC!A66</f>
        <v>52</v>
      </c>
      <c r="C53" t="str">
        <f>COC!O66</f>
        <v/>
      </c>
      <c r="D53" s="46" t="str">
        <f>IF(COC!C66="","",COC!C66)</f>
        <v/>
      </c>
      <c r="E53" s="37" t="str">
        <f>IF(COC!D66="","",COC!D66)</f>
        <v/>
      </c>
      <c r="G53" t="str">
        <f>IF(COC!I66="","",INDEX(COCDV[Facility],MATCH(COC!$I$6,COCDV[SAP Name],0)))</f>
        <v/>
      </c>
      <c r="H53" t="str">
        <f>IF(COC!I66="","",INDEX(COCDV[Address],MATCH(COC!$I$6,COCDV[SAP Name],0)))</f>
        <v/>
      </c>
      <c r="I53" t="str">
        <f>IF(COC!I66="","",COC!I66)</f>
        <v/>
      </c>
      <c r="J53" t="str">
        <f>IF(COCRollupTbl[[#This Row],[COC Loc.]]="","",SplitString(COCRollupTbl[[#This Row],[COC Loc.]],2,", ")&amp;", "&amp;SplitString(COCRollupTbl[[#This Row],[COC Loc.]],3,", "))</f>
        <v/>
      </c>
      <c r="K53" t="str">
        <f>IF(COCRollupTbl[[#This Row],[COC Loc.]]="","",COCRollupTbl[[#This Row],[Source]]&amp;", "&amp;COCRollupTbl[[#This Row],[Type]]&amp;", "&amp;COCRollupTbl[[#This Row],[COC Loc.]])</f>
        <v/>
      </c>
      <c r="L53" t="str">
        <f>IF(COC!E66="","",COC!E66)</f>
        <v/>
      </c>
      <c r="M53" t="str">
        <f>IF(COC!H66="","",COC!H66)</f>
        <v/>
      </c>
      <c r="N53" t="str">
        <f>IF(COCRollupTbl[[#This Row],[COC Loc.]]="","",SplitString(COCRollupTbl[[#This Row],[COC Loc.]],1,", "))</f>
        <v/>
      </c>
      <c r="O53" t="str">
        <f>IF(COCRollupTbl[[#This Row],[COC Loc.]]="","",SplitString(COCRollupTbl[[#This Row],[COC Loc.]],2,", "))</f>
        <v/>
      </c>
      <c r="T53" t="str">
        <f>IF(COC!K66="","",COC!K66)</f>
        <v/>
      </c>
      <c r="U53" t="str">
        <f>IF(COC!L66="","",COC!L66)</f>
        <v/>
      </c>
      <c r="V53" t="str">
        <f>IF(COC!M66="","",COC!M66)</f>
        <v/>
      </c>
      <c r="X5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4" spans="2:25" x14ac:dyDescent="0.2">
      <c r="B54">
        <f>COC!A67</f>
        <v>53</v>
      </c>
      <c r="C54" t="str">
        <f>COC!O67</f>
        <v/>
      </c>
      <c r="D54" s="46" t="str">
        <f>IF(COC!C67="","",COC!C67)</f>
        <v/>
      </c>
      <c r="E54" s="37" t="str">
        <f>IF(COC!D67="","",COC!D67)</f>
        <v/>
      </c>
      <c r="G54" t="str">
        <f>IF(COC!I67="","",INDEX(COCDV[Facility],MATCH(COC!$I$6,COCDV[SAP Name],0)))</f>
        <v/>
      </c>
      <c r="H54" t="str">
        <f>IF(COC!I67="","",INDEX(COCDV[Address],MATCH(COC!$I$6,COCDV[SAP Name],0)))</f>
        <v/>
      </c>
      <c r="I54" t="str">
        <f>IF(COC!I67="","",COC!I67)</f>
        <v/>
      </c>
      <c r="J54" t="str">
        <f>IF(COCRollupTbl[[#This Row],[COC Loc.]]="","",SplitString(COCRollupTbl[[#This Row],[COC Loc.]],2,", ")&amp;", "&amp;SplitString(COCRollupTbl[[#This Row],[COC Loc.]],3,", "))</f>
        <v/>
      </c>
      <c r="K54" t="str">
        <f>IF(COCRollupTbl[[#This Row],[COC Loc.]]="","",COCRollupTbl[[#This Row],[Source]]&amp;", "&amp;COCRollupTbl[[#This Row],[Type]]&amp;", "&amp;COCRollupTbl[[#This Row],[COC Loc.]])</f>
        <v/>
      </c>
      <c r="L54" t="str">
        <f>IF(COC!E67="","",COC!E67)</f>
        <v/>
      </c>
      <c r="M54" t="str">
        <f>IF(COC!H67="","",COC!H67)</f>
        <v/>
      </c>
      <c r="N54" t="str">
        <f>IF(COCRollupTbl[[#This Row],[COC Loc.]]="","",SplitString(COCRollupTbl[[#This Row],[COC Loc.]],1,", "))</f>
        <v/>
      </c>
      <c r="O54" t="str">
        <f>IF(COCRollupTbl[[#This Row],[COC Loc.]]="","",SplitString(COCRollupTbl[[#This Row],[COC Loc.]],2,", "))</f>
        <v/>
      </c>
      <c r="T54" t="str">
        <f>IF(COC!K67="","",COC!K67)</f>
        <v/>
      </c>
      <c r="U54" t="str">
        <f>IF(COC!L67="","",COC!L67)</f>
        <v/>
      </c>
      <c r="V54" t="str">
        <f>IF(COC!M67="","",COC!M67)</f>
        <v/>
      </c>
      <c r="X5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5" spans="2:25" x14ac:dyDescent="0.2">
      <c r="B55">
        <f>COC!A68</f>
        <v>54</v>
      </c>
      <c r="C55" t="str">
        <f>COC!O68</f>
        <v/>
      </c>
      <c r="D55" s="46" t="str">
        <f>IF(COC!C68="","",COC!C68)</f>
        <v/>
      </c>
      <c r="E55" s="37" t="str">
        <f>IF(COC!D68="","",COC!D68)</f>
        <v/>
      </c>
      <c r="G55" t="str">
        <f>IF(COC!I68="","",INDEX(COCDV[Facility],MATCH(COC!$I$6,COCDV[SAP Name],0)))</f>
        <v/>
      </c>
      <c r="H55" t="str">
        <f>IF(COC!I68="","",INDEX(COCDV[Address],MATCH(COC!$I$6,COCDV[SAP Name],0)))</f>
        <v/>
      </c>
      <c r="I55" t="str">
        <f>IF(COC!I68="","",COC!I68)</f>
        <v/>
      </c>
      <c r="J55" t="str">
        <f>IF(COCRollupTbl[[#This Row],[COC Loc.]]="","",SplitString(COCRollupTbl[[#This Row],[COC Loc.]],2,", ")&amp;", "&amp;SplitString(COCRollupTbl[[#This Row],[COC Loc.]],3,", "))</f>
        <v/>
      </c>
      <c r="K55" t="str">
        <f>IF(COCRollupTbl[[#This Row],[COC Loc.]]="","",COCRollupTbl[[#This Row],[Source]]&amp;", "&amp;COCRollupTbl[[#This Row],[Type]]&amp;", "&amp;COCRollupTbl[[#This Row],[COC Loc.]])</f>
        <v/>
      </c>
      <c r="L55" t="str">
        <f>IF(COC!E68="","",COC!E68)</f>
        <v/>
      </c>
      <c r="M55" t="str">
        <f>IF(COC!H68="","",COC!H68)</f>
        <v/>
      </c>
      <c r="N55" t="str">
        <f>IF(COCRollupTbl[[#This Row],[COC Loc.]]="","",SplitString(COCRollupTbl[[#This Row],[COC Loc.]],1,", "))</f>
        <v/>
      </c>
      <c r="O55" t="str">
        <f>IF(COCRollupTbl[[#This Row],[COC Loc.]]="","",SplitString(COCRollupTbl[[#This Row],[COC Loc.]],2,", "))</f>
        <v/>
      </c>
      <c r="T55" t="str">
        <f>IF(COC!K68="","",COC!K68)</f>
        <v/>
      </c>
      <c r="U55" t="str">
        <f>IF(COC!L68="","",COC!L68)</f>
        <v/>
      </c>
      <c r="V55" t="str">
        <f>IF(COC!M68="","",COC!M68)</f>
        <v/>
      </c>
      <c r="X5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6" spans="2:25" x14ac:dyDescent="0.2">
      <c r="B56">
        <f>COC!A69</f>
        <v>55</v>
      </c>
      <c r="C56" t="str">
        <f>COC!O69</f>
        <v/>
      </c>
      <c r="D56" s="46" t="str">
        <f>IF(COC!C69="","",COC!C69)</f>
        <v/>
      </c>
      <c r="E56" s="37" t="str">
        <f>IF(COC!D69="","",COC!D69)</f>
        <v/>
      </c>
      <c r="G56" t="str">
        <f>IF(COC!I69="","",INDEX(COCDV[Facility],MATCH(COC!$I$6,COCDV[SAP Name],0)))</f>
        <v/>
      </c>
      <c r="H56" t="str">
        <f>IF(COC!I69="","",INDEX(COCDV[Address],MATCH(COC!$I$6,COCDV[SAP Name],0)))</f>
        <v/>
      </c>
      <c r="I56" t="str">
        <f>IF(COC!I69="","",COC!I69)</f>
        <v/>
      </c>
      <c r="J56" t="str">
        <f>IF(COCRollupTbl[[#This Row],[COC Loc.]]="","",SplitString(COCRollupTbl[[#This Row],[COC Loc.]],2,", ")&amp;", "&amp;SplitString(COCRollupTbl[[#This Row],[COC Loc.]],3,", "))</f>
        <v/>
      </c>
      <c r="K56" t="str">
        <f>IF(COCRollupTbl[[#This Row],[COC Loc.]]="","",COCRollupTbl[[#This Row],[Source]]&amp;", "&amp;COCRollupTbl[[#This Row],[Type]]&amp;", "&amp;COCRollupTbl[[#This Row],[COC Loc.]])</f>
        <v/>
      </c>
      <c r="L56" t="str">
        <f>IF(COC!E69="","",COC!E69)</f>
        <v/>
      </c>
      <c r="M56" t="str">
        <f>IF(COC!H69="","",COC!H69)</f>
        <v/>
      </c>
      <c r="N56" t="str">
        <f>IF(COCRollupTbl[[#This Row],[COC Loc.]]="","",SplitString(COCRollupTbl[[#This Row],[COC Loc.]],1,", "))</f>
        <v/>
      </c>
      <c r="O56" t="str">
        <f>IF(COCRollupTbl[[#This Row],[COC Loc.]]="","",SplitString(COCRollupTbl[[#This Row],[COC Loc.]],2,", "))</f>
        <v/>
      </c>
      <c r="T56" t="str">
        <f>IF(COC!K69="","",COC!K69)</f>
        <v/>
      </c>
      <c r="U56" t="str">
        <f>IF(COC!L69="","",COC!L69)</f>
        <v/>
      </c>
      <c r="V56" t="str">
        <f>IF(COC!M69="","",COC!M69)</f>
        <v/>
      </c>
      <c r="X5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7" spans="2:25" x14ac:dyDescent="0.2">
      <c r="B57">
        <f>COC!A70</f>
        <v>56</v>
      </c>
      <c r="C57" t="str">
        <f>COC!O70</f>
        <v/>
      </c>
      <c r="D57" s="46" t="str">
        <f>IF(COC!C70="","",COC!C70)</f>
        <v/>
      </c>
      <c r="E57" s="37" t="str">
        <f>IF(COC!D70="","",COC!D70)</f>
        <v/>
      </c>
      <c r="G57" t="str">
        <f>IF(COC!I70="","",INDEX(COCDV[Facility],MATCH(COC!$I$6,COCDV[SAP Name],0)))</f>
        <v/>
      </c>
      <c r="H57" t="str">
        <f>IF(COC!I70="","",INDEX(COCDV[Address],MATCH(COC!$I$6,COCDV[SAP Name],0)))</f>
        <v/>
      </c>
      <c r="I57" t="str">
        <f>IF(COC!I70="","",COC!I70)</f>
        <v/>
      </c>
      <c r="J57" t="str">
        <f>IF(COCRollupTbl[[#This Row],[COC Loc.]]="","",SplitString(COCRollupTbl[[#This Row],[COC Loc.]],2,", ")&amp;", "&amp;SplitString(COCRollupTbl[[#This Row],[COC Loc.]],3,", "))</f>
        <v/>
      </c>
      <c r="K57" t="str">
        <f>IF(COCRollupTbl[[#This Row],[COC Loc.]]="","",COCRollupTbl[[#This Row],[Source]]&amp;", "&amp;COCRollupTbl[[#This Row],[Type]]&amp;", "&amp;COCRollupTbl[[#This Row],[COC Loc.]])</f>
        <v/>
      </c>
      <c r="L57" t="str">
        <f>IF(COC!E70="","",COC!E70)</f>
        <v/>
      </c>
      <c r="M57" t="str">
        <f>IF(COC!H70="","",COC!H70)</f>
        <v/>
      </c>
      <c r="N57" t="str">
        <f>IF(COCRollupTbl[[#This Row],[COC Loc.]]="","",SplitString(COCRollupTbl[[#This Row],[COC Loc.]],1,", "))</f>
        <v/>
      </c>
      <c r="O57" t="str">
        <f>IF(COCRollupTbl[[#This Row],[COC Loc.]]="","",SplitString(COCRollupTbl[[#This Row],[COC Loc.]],2,", "))</f>
        <v/>
      </c>
      <c r="T57" t="str">
        <f>IF(COC!K70="","",COC!K70)</f>
        <v/>
      </c>
      <c r="U57" t="str">
        <f>IF(COC!L70="","",COC!L70)</f>
        <v/>
      </c>
      <c r="V57" t="str">
        <f>IF(COC!M70="","",COC!M70)</f>
        <v/>
      </c>
      <c r="X5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8" spans="2:25" x14ac:dyDescent="0.2">
      <c r="B58">
        <f>COC!A71</f>
        <v>57</v>
      </c>
      <c r="C58" t="str">
        <f>COC!O71</f>
        <v/>
      </c>
      <c r="D58" s="46" t="str">
        <f>IF(COC!C71="","",COC!C71)</f>
        <v/>
      </c>
      <c r="E58" s="37" t="str">
        <f>IF(COC!D71="","",COC!D71)</f>
        <v/>
      </c>
      <c r="G58" t="str">
        <f>IF(COC!I71="","",INDEX(COCDV[Facility],MATCH(COC!$I$6,COCDV[SAP Name],0)))</f>
        <v/>
      </c>
      <c r="H58" t="str">
        <f>IF(COC!I71="","",INDEX(COCDV[Address],MATCH(COC!$I$6,COCDV[SAP Name],0)))</f>
        <v/>
      </c>
      <c r="I58" t="str">
        <f>IF(COC!I71="","",COC!I71)</f>
        <v/>
      </c>
      <c r="J58" t="str">
        <f>IF(COCRollupTbl[[#This Row],[COC Loc.]]="","",SplitString(COCRollupTbl[[#This Row],[COC Loc.]],2,", ")&amp;", "&amp;SplitString(COCRollupTbl[[#This Row],[COC Loc.]],3,", "))</f>
        <v/>
      </c>
      <c r="K58" t="str">
        <f>IF(COCRollupTbl[[#This Row],[COC Loc.]]="","",COCRollupTbl[[#This Row],[Source]]&amp;", "&amp;COCRollupTbl[[#This Row],[Type]]&amp;", "&amp;COCRollupTbl[[#This Row],[COC Loc.]])</f>
        <v/>
      </c>
      <c r="L58" t="str">
        <f>IF(COC!E71="","",COC!E71)</f>
        <v/>
      </c>
      <c r="M58" t="str">
        <f>IF(COC!H71="","",COC!H71)</f>
        <v/>
      </c>
      <c r="N58" t="str">
        <f>IF(COCRollupTbl[[#This Row],[COC Loc.]]="","",SplitString(COCRollupTbl[[#This Row],[COC Loc.]],1,", "))</f>
        <v/>
      </c>
      <c r="O58" t="str">
        <f>IF(COCRollupTbl[[#This Row],[COC Loc.]]="","",SplitString(COCRollupTbl[[#This Row],[COC Loc.]],2,", "))</f>
        <v/>
      </c>
      <c r="T58" t="str">
        <f>IF(COC!K71="","",COC!K71)</f>
        <v/>
      </c>
      <c r="U58" t="str">
        <f>IF(COC!L71="","",COC!L71)</f>
        <v/>
      </c>
      <c r="V58" t="str">
        <f>IF(COC!M71="","",COC!M71)</f>
        <v/>
      </c>
      <c r="X5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9" spans="2:25" x14ac:dyDescent="0.2">
      <c r="B59">
        <f>COC!A72</f>
        <v>58</v>
      </c>
      <c r="C59" t="str">
        <f>COC!O72</f>
        <v/>
      </c>
      <c r="D59" s="46" t="str">
        <f>IF(COC!C72="","",COC!C72)</f>
        <v/>
      </c>
      <c r="E59" s="37" t="str">
        <f>IF(COC!D72="","",COC!D72)</f>
        <v/>
      </c>
      <c r="G59" t="str">
        <f>IF(COC!I72="","",INDEX(COCDV[Facility],MATCH(COC!$I$6,COCDV[SAP Name],0)))</f>
        <v/>
      </c>
      <c r="H59" t="str">
        <f>IF(COC!I72="","",INDEX(COCDV[Address],MATCH(COC!$I$6,COCDV[SAP Name],0)))</f>
        <v/>
      </c>
      <c r="I59" t="str">
        <f>IF(COC!I72="","",COC!I72)</f>
        <v/>
      </c>
      <c r="J59" t="str">
        <f>IF(COCRollupTbl[[#This Row],[COC Loc.]]="","",SplitString(COCRollupTbl[[#This Row],[COC Loc.]],2,", ")&amp;", "&amp;SplitString(COCRollupTbl[[#This Row],[COC Loc.]],3,", "))</f>
        <v/>
      </c>
      <c r="K59" t="str">
        <f>IF(COCRollupTbl[[#This Row],[COC Loc.]]="","",COCRollupTbl[[#This Row],[Source]]&amp;", "&amp;COCRollupTbl[[#This Row],[Type]]&amp;", "&amp;COCRollupTbl[[#This Row],[COC Loc.]])</f>
        <v/>
      </c>
      <c r="L59" t="str">
        <f>IF(COC!E72="","",COC!E72)</f>
        <v/>
      </c>
      <c r="M59" t="str">
        <f>IF(COC!H72="","",COC!H72)</f>
        <v/>
      </c>
      <c r="N59" t="str">
        <f>IF(COCRollupTbl[[#This Row],[COC Loc.]]="","",SplitString(COCRollupTbl[[#This Row],[COC Loc.]],1,", "))</f>
        <v/>
      </c>
      <c r="O59" t="str">
        <f>IF(COCRollupTbl[[#This Row],[COC Loc.]]="","",SplitString(COCRollupTbl[[#This Row],[COC Loc.]],2,", "))</f>
        <v/>
      </c>
      <c r="T59" t="str">
        <f>IF(COC!K72="","",COC!K72)</f>
        <v/>
      </c>
      <c r="U59" t="str">
        <f>IF(COC!L72="","",COC!L72)</f>
        <v/>
      </c>
      <c r="V59" t="str">
        <f>IF(COC!M72="","",COC!M72)</f>
        <v/>
      </c>
      <c r="X5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0" spans="2:25" x14ac:dyDescent="0.2">
      <c r="B60">
        <f>COC!A73</f>
        <v>59</v>
      </c>
      <c r="C60" t="str">
        <f>COC!O73</f>
        <v/>
      </c>
      <c r="D60" s="46" t="str">
        <f>IF(COC!C73="","",COC!C73)</f>
        <v/>
      </c>
      <c r="E60" s="37" t="str">
        <f>IF(COC!D73="","",COC!D73)</f>
        <v/>
      </c>
      <c r="G60" t="str">
        <f>IF(COC!I73="","",INDEX(COCDV[Facility],MATCH(COC!$I$6,COCDV[SAP Name],0)))</f>
        <v/>
      </c>
      <c r="H60" t="str">
        <f>IF(COC!I73="","",INDEX(COCDV[Address],MATCH(COC!$I$6,COCDV[SAP Name],0)))</f>
        <v/>
      </c>
      <c r="I60" t="str">
        <f>IF(COC!I73="","",COC!I73)</f>
        <v/>
      </c>
      <c r="J60" t="str">
        <f>IF(COCRollupTbl[[#This Row],[COC Loc.]]="","",SplitString(COCRollupTbl[[#This Row],[COC Loc.]],2,", ")&amp;", "&amp;SplitString(COCRollupTbl[[#This Row],[COC Loc.]],3,", "))</f>
        <v/>
      </c>
      <c r="K60" t="str">
        <f>IF(COCRollupTbl[[#This Row],[COC Loc.]]="","",COCRollupTbl[[#This Row],[Source]]&amp;", "&amp;COCRollupTbl[[#This Row],[Type]]&amp;", "&amp;COCRollupTbl[[#This Row],[COC Loc.]])</f>
        <v/>
      </c>
      <c r="L60" t="str">
        <f>IF(COC!E73="","",COC!E73)</f>
        <v/>
      </c>
      <c r="M60" t="str">
        <f>IF(COC!H73="","",COC!H73)</f>
        <v/>
      </c>
      <c r="N60" t="str">
        <f>IF(COCRollupTbl[[#This Row],[COC Loc.]]="","",SplitString(COCRollupTbl[[#This Row],[COC Loc.]],1,", "))</f>
        <v/>
      </c>
      <c r="O60" t="str">
        <f>IF(COCRollupTbl[[#This Row],[COC Loc.]]="","",SplitString(COCRollupTbl[[#This Row],[COC Loc.]],2,", "))</f>
        <v/>
      </c>
      <c r="T60" t="str">
        <f>IF(COC!K73="","",COC!K73)</f>
        <v/>
      </c>
      <c r="U60" t="str">
        <f>IF(COC!L73="","",COC!L73)</f>
        <v/>
      </c>
      <c r="V60" t="str">
        <f>IF(COC!M73="","",COC!M73)</f>
        <v/>
      </c>
      <c r="X6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1" spans="2:25" x14ac:dyDescent="0.2">
      <c r="B61">
        <f>COC!A74</f>
        <v>60</v>
      </c>
      <c r="C61" t="str">
        <f>COC!O74</f>
        <v/>
      </c>
      <c r="D61" s="46" t="str">
        <f>IF(COC!C74="","",COC!C74)</f>
        <v/>
      </c>
      <c r="E61" s="37" t="str">
        <f>IF(COC!D74="","",COC!D74)</f>
        <v/>
      </c>
      <c r="G61" t="str">
        <f>IF(COC!I74="","",INDEX(COCDV[Facility],MATCH(COC!$I$6,COCDV[SAP Name],0)))</f>
        <v/>
      </c>
      <c r="H61" t="str">
        <f>IF(COC!I74="","",INDEX(COCDV[Address],MATCH(COC!$I$6,COCDV[SAP Name],0)))</f>
        <v/>
      </c>
      <c r="I61" t="str">
        <f>IF(COC!I74="","",COC!I74)</f>
        <v/>
      </c>
      <c r="J61" t="str">
        <f>IF(COCRollupTbl[[#This Row],[COC Loc.]]="","",SplitString(COCRollupTbl[[#This Row],[COC Loc.]],2,", ")&amp;", "&amp;SplitString(COCRollupTbl[[#This Row],[COC Loc.]],3,", "))</f>
        <v/>
      </c>
      <c r="K61" t="str">
        <f>IF(COCRollupTbl[[#This Row],[COC Loc.]]="","",COCRollupTbl[[#This Row],[Source]]&amp;", "&amp;COCRollupTbl[[#This Row],[Type]]&amp;", "&amp;COCRollupTbl[[#This Row],[COC Loc.]])</f>
        <v/>
      </c>
      <c r="L61" t="str">
        <f>IF(COC!E74="","",COC!E74)</f>
        <v/>
      </c>
      <c r="M61" t="str">
        <f>IF(COC!H74="","",COC!H74)</f>
        <v/>
      </c>
      <c r="N61" t="str">
        <f>IF(COCRollupTbl[[#This Row],[COC Loc.]]="","",SplitString(COCRollupTbl[[#This Row],[COC Loc.]],1,", "))</f>
        <v/>
      </c>
      <c r="O61" t="str">
        <f>IF(COCRollupTbl[[#This Row],[COC Loc.]]="","",SplitString(COCRollupTbl[[#This Row],[COC Loc.]],2,", "))</f>
        <v/>
      </c>
      <c r="T61" t="str">
        <f>IF(COC!K74="","",COC!K74)</f>
        <v/>
      </c>
      <c r="U61" t="str">
        <f>IF(COC!L74="","",COC!L74)</f>
        <v/>
      </c>
      <c r="V61" t="str">
        <f>IF(COC!M74="","",COC!M74)</f>
        <v/>
      </c>
      <c r="X6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2" spans="2:25" x14ac:dyDescent="0.2">
      <c r="B62">
        <f>COC!A75</f>
        <v>61</v>
      </c>
      <c r="C62" t="str">
        <f>COC!O75</f>
        <v/>
      </c>
      <c r="D62" s="46" t="str">
        <f>IF(COC!C75="","",COC!C75)</f>
        <v/>
      </c>
      <c r="E62" s="37" t="str">
        <f>IF(COC!D75="","",COC!D75)</f>
        <v/>
      </c>
      <c r="G62" t="str">
        <f>IF(COC!I75="","",INDEX(COCDV[Facility],MATCH(COC!$I$6,COCDV[SAP Name],0)))</f>
        <v/>
      </c>
      <c r="H62" t="str">
        <f>IF(COC!I75="","",INDEX(COCDV[Address],MATCH(COC!$I$6,COCDV[SAP Name],0)))</f>
        <v/>
      </c>
      <c r="I62" t="str">
        <f>IF(COC!I75="","",COC!I75)</f>
        <v/>
      </c>
      <c r="J62" t="str">
        <f>IF(COCRollupTbl[[#This Row],[COC Loc.]]="","",SplitString(COCRollupTbl[[#This Row],[COC Loc.]],2,", ")&amp;", "&amp;SplitString(COCRollupTbl[[#This Row],[COC Loc.]],3,", "))</f>
        <v/>
      </c>
      <c r="K62" t="str">
        <f>IF(COCRollupTbl[[#This Row],[COC Loc.]]="","",COCRollupTbl[[#This Row],[Source]]&amp;", "&amp;COCRollupTbl[[#This Row],[Type]]&amp;", "&amp;COCRollupTbl[[#This Row],[COC Loc.]])</f>
        <v/>
      </c>
      <c r="L62" t="str">
        <f>IF(COC!E75="","",COC!E75)</f>
        <v/>
      </c>
      <c r="M62" t="str">
        <f>IF(COC!H75="","",COC!H75)</f>
        <v/>
      </c>
      <c r="N62" t="str">
        <f>IF(COCRollupTbl[[#This Row],[COC Loc.]]="","",SplitString(COCRollupTbl[[#This Row],[COC Loc.]],1,", "))</f>
        <v/>
      </c>
      <c r="O62" t="str">
        <f>IF(COCRollupTbl[[#This Row],[COC Loc.]]="","",SplitString(COCRollupTbl[[#This Row],[COC Loc.]],2,", "))</f>
        <v/>
      </c>
      <c r="T62" t="str">
        <f>IF(COC!K75="","",COC!K75)</f>
        <v/>
      </c>
      <c r="U62" t="str">
        <f>IF(COC!L75="","",COC!L75)</f>
        <v/>
      </c>
      <c r="V62" t="str">
        <f>IF(COC!M75="","",COC!M75)</f>
        <v/>
      </c>
      <c r="X6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3" spans="2:25" x14ac:dyDescent="0.2">
      <c r="B63">
        <f>COC!A76</f>
        <v>62</v>
      </c>
      <c r="C63" t="str">
        <f>COC!O76</f>
        <v/>
      </c>
      <c r="D63" s="46" t="str">
        <f>IF(COC!C76="","",COC!C76)</f>
        <v/>
      </c>
      <c r="E63" s="37" t="str">
        <f>IF(COC!D76="","",COC!D76)</f>
        <v/>
      </c>
      <c r="G63" t="str">
        <f>IF(COC!I76="","",INDEX(COCDV[Facility],MATCH(COC!$I$6,COCDV[SAP Name],0)))</f>
        <v/>
      </c>
      <c r="H63" t="str">
        <f>IF(COC!I76="","",INDEX(COCDV[Address],MATCH(COC!$I$6,COCDV[SAP Name],0)))</f>
        <v/>
      </c>
      <c r="I63" t="str">
        <f>IF(COC!I76="","",COC!I76)</f>
        <v/>
      </c>
      <c r="J63" t="str">
        <f>IF(COCRollupTbl[[#This Row],[COC Loc.]]="","",SplitString(COCRollupTbl[[#This Row],[COC Loc.]],2,", ")&amp;", "&amp;SplitString(COCRollupTbl[[#This Row],[COC Loc.]],3,", "))</f>
        <v/>
      </c>
      <c r="K63" t="str">
        <f>IF(COCRollupTbl[[#This Row],[COC Loc.]]="","",COCRollupTbl[[#This Row],[Source]]&amp;", "&amp;COCRollupTbl[[#This Row],[Type]]&amp;", "&amp;COCRollupTbl[[#This Row],[COC Loc.]])</f>
        <v/>
      </c>
      <c r="L63" t="str">
        <f>IF(COC!E76="","",COC!E76)</f>
        <v/>
      </c>
      <c r="M63" t="str">
        <f>IF(COC!H76="","",COC!H76)</f>
        <v/>
      </c>
      <c r="N63" t="str">
        <f>IF(COCRollupTbl[[#This Row],[COC Loc.]]="","",SplitString(COCRollupTbl[[#This Row],[COC Loc.]],1,", "))</f>
        <v/>
      </c>
      <c r="O63" t="str">
        <f>IF(COCRollupTbl[[#This Row],[COC Loc.]]="","",SplitString(COCRollupTbl[[#This Row],[COC Loc.]],2,", "))</f>
        <v/>
      </c>
      <c r="T63" t="str">
        <f>IF(COC!K76="","",COC!K76)</f>
        <v/>
      </c>
      <c r="U63" t="str">
        <f>IF(COC!L76="","",COC!L76)</f>
        <v/>
      </c>
      <c r="V63" t="str">
        <f>IF(COC!M76="","",COC!M76)</f>
        <v/>
      </c>
      <c r="X6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4" spans="2:25" x14ac:dyDescent="0.2">
      <c r="B64">
        <f>COC!A77</f>
        <v>63</v>
      </c>
      <c r="C64" t="str">
        <f>COC!O77</f>
        <v/>
      </c>
      <c r="D64" s="46" t="str">
        <f>IF(COC!C77="","",COC!C77)</f>
        <v/>
      </c>
      <c r="E64" s="37" t="str">
        <f>IF(COC!D77="","",COC!D77)</f>
        <v/>
      </c>
      <c r="G64" t="str">
        <f>IF(COC!I77="","",INDEX(COCDV[Facility],MATCH(COC!$I$6,COCDV[SAP Name],0)))</f>
        <v/>
      </c>
      <c r="H64" t="str">
        <f>IF(COC!I77="","",INDEX(COCDV[Address],MATCH(COC!$I$6,COCDV[SAP Name],0)))</f>
        <v/>
      </c>
      <c r="I64" t="str">
        <f>IF(COC!I77="","",COC!I77)</f>
        <v/>
      </c>
      <c r="J64" t="str">
        <f>IF(COCRollupTbl[[#This Row],[COC Loc.]]="","",SplitString(COCRollupTbl[[#This Row],[COC Loc.]],2,", ")&amp;", "&amp;SplitString(COCRollupTbl[[#This Row],[COC Loc.]],3,", "))</f>
        <v/>
      </c>
      <c r="K64" t="str">
        <f>IF(COCRollupTbl[[#This Row],[COC Loc.]]="","",COCRollupTbl[[#This Row],[Source]]&amp;", "&amp;COCRollupTbl[[#This Row],[Type]]&amp;", "&amp;COCRollupTbl[[#This Row],[COC Loc.]])</f>
        <v/>
      </c>
      <c r="L64" t="str">
        <f>IF(COC!E77="","",COC!E77)</f>
        <v/>
      </c>
      <c r="M64" t="str">
        <f>IF(COC!H77="","",COC!H77)</f>
        <v/>
      </c>
      <c r="N64" t="str">
        <f>IF(COCRollupTbl[[#This Row],[COC Loc.]]="","",SplitString(COCRollupTbl[[#This Row],[COC Loc.]],1,", "))</f>
        <v/>
      </c>
      <c r="O64" t="str">
        <f>IF(COCRollupTbl[[#This Row],[COC Loc.]]="","",SplitString(COCRollupTbl[[#This Row],[COC Loc.]],2,", "))</f>
        <v/>
      </c>
      <c r="T64" t="str">
        <f>IF(COC!K77="","",COC!K77)</f>
        <v/>
      </c>
      <c r="U64" t="str">
        <f>IF(COC!L77="","",COC!L77)</f>
        <v/>
      </c>
      <c r="V64" t="str">
        <f>IF(COC!M77="","",COC!M77)</f>
        <v/>
      </c>
      <c r="X6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5" spans="2:25" x14ac:dyDescent="0.2">
      <c r="B65">
        <f>COC!A78</f>
        <v>64</v>
      </c>
      <c r="C65" t="str">
        <f>COC!O78</f>
        <v/>
      </c>
      <c r="D65" s="46" t="str">
        <f>IF(COC!C78="","",COC!C78)</f>
        <v/>
      </c>
      <c r="E65" s="37" t="str">
        <f>IF(COC!D78="","",COC!D78)</f>
        <v/>
      </c>
      <c r="G65" t="str">
        <f>IF(COC!I78="","",INDEX(COCDV[Facility],MATCH(COC!$I$6,COCDV[SAP Name],0)))</f>
        <v/>
      </c>
      <c r="H65" t="str">
        <f>IF(COC!I78="","",INDEX(COCDV[Address],MATCH(COC!$I$6,COCDV[SAP Name],0)))</f>
        <v/>
      </c>
      <c r="I65" t="str">
        <f>IF(COC!I78="","",COC!I78)</f>
        <v/>
      </c>
      <c r="J65" t="str">
        <f>IF(COCRollupTbl[[#This Row],[COC Loc.]]="","",SplitString(COCRollupTbl[[#This Row],[COC Loc.]],2,", ")&amp;", "&amp;SplitString(COCRollupTbl[[#This Row],[COC Loc.]],3,", "))</f>
        <v/>
      </c>
      <c r="K65" t="str">
        <f>IF(COCRollupTbl[[#This Row],[COC Loc.]]="","",COCRollupTbl[[#This Row],[Source]]&amp;", "&amp;COCRollupTbl[[#This Row],[Type]]&amp;", "&amp;COCRollupTbl[[#This Row],[COC Loc.]])</f>
        <v/>
      </c>
      <c r="L65" t="str">
        <f>IF(COC!E78="","",COC!E78)</f>
        <v/>
      </c>
      <c r="M65" t="str">
        <f>IF(COC!H78="","",COC!H78)</f>
        <v/>
      </c>
      <c r="N65" t="str">
        <f>IF(COCRollupTbl[[#This Row],[COC Loc.]]="","",SplitString(COCRollupTbl[[#This Row],[COC Loc.]],1,", "))</f>
        <v/>
      </c>
      <c r="O65" t="str">
        <f>IF(COCRollupTbl[[#This Row],[COC Loc.]]="","",SplitString(COCRollupTbl[[#This Row],[COC Loc.]],2,", "))</f>
        <v/>
      </c>
      <c r="T65" t="str">
        <f>IF(COC!K78="","",COC!K78)</f>
        <v/>
      </c>
      <c r="U65" t="str">
        <f>IF(COC!L78="","",COC!L78)</f>
        <v/>
      </c>
      <c r="V65" t="str">
        <f>IF(COC!M78="","",COC!M78)</f>
        <v/>
      </c>
      <c r="X6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6" spans="2:25" x14ac:dyDescent="0.2">
      <c r="B66">
        <f>COC!A79</f>
        <v>65</v>
      </c>
      <c r="C66" t="str">
        <f>COC!O79</f>
        <v/>
      </c>
      <c r="D66" s="46" t="str">
        <f>IF(COC!C79="","",COC!C79)</f>
        <v/>
      </c>
      <c r="E66" s="37" t="str">
        <f>IF(COC!D79="","",COC!D79)</f>
        <v/>
      </c>
      <c r="G66" t="str">
        <f>IF(COC!I79="","",INDEX(COCDV[Facility],MATCH(COC!$I$6,COCDV[SAP Name],0)))</f>
        <v/>
      </c>
      <c r="H66" t="str">
        <f>IF(COC!I79="","",INDEX(COCDV[Address],MATCH(COC!$I$6,COCDV[SAP Name],0)))</f>
        <v/>
      </c>
      <c r="I66" t="str">
        <f>IF(COC!I79="","",COC!I79)</f>
        <v/>
      </c>
      <c r="J66" t="str">
        <f>IF(COCRollupTbl[[#This Row],[COC Loc.]]="","",SplitString(COCRollupTbl[[#This Row],[COC Loc.]],2,", ")&amp;", "&amp;SplitString(COCRollupTbl[[#This Row],[COC Loc.]],3,", "))</f>
        <v/>
      </c>
      <c r="K66" t="str">
        <f>IF(COCRollupTbl[[#This Row],[COC Loc.]]="","",COCRollupTbl[[#This Row],[Source]]&amp;", "&amp;COCRollupTbl[[#This Row],[Type]]&amp;", "&amp;COCRollupTbl[[#This Row],[COC Loc.]])</f>
        <v/>
      </c>
      <c r="L66" t="str">
        <f>IF(COC!E79="","",COC!E79)</f>
        <v/>
      </c>
      <c r="M66" t="str">
        <f>IF(COC!H79="","",COC!H79)</f>
        <v/>
      </c>
      <c r="N66" t="str">
        <f>IF(COCRollupTbl[[#This Row],[COC Loc.]]="","",SplitString(COCRollupTbl[[#This Row],[COC Loc.]],1,", "))</f>
        <v/>
      </c>
      <c r="O66" t="str">
        <f>IF(COCRollupTbl[[#This Row],[COC Loc.]]="","",SplitString(COCRollupTbl[[#This Row],[COC Loc.]],2,", "))</f>
        <v/>
      </c>
      <c r="T66" t="str">
        <f>IF(COC!K79="","",COC!K79)</f>
        <v/>
      </c>
      <c r="U66" t="str">
        <f>IF(COC!L79="","",COC!L79)</f>
        <v/>
      </c>
      <c r="V66" t="str">
        <f>IF(COC!M79="","",COC!M79)</f>
        <v/>
      </c>
      <c r="X6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7" spans="2:25" x14ac:dyDescent="0.2">
      <c r="B67">
        <f>COC!A80</f>
        <v>66</v>
      </c>
      <c r="C67" t="str">
        <f>COC!O80</f>
        <v/>
      </c>
      <c r="D67" s="46" t="str">
        <f>IF(COC!C80="","",COC!C80)</f>
        <v/>
      </c>
      <c r="E67" s="37" t="str">
        <f>IF(COC!D80="","",COC!D80)</f>
        <v/>
      </c>
      <c r="G67" t="str">
        <f>IF(COC!I80="","",INDEX(COCDV[Facility],MATCH(COC!$I$6,COCDV[SAP Name],0)))</f>
        <v/>
      </c>
      <c r="H67" t="str">
        <f>IF(COC!I80="","",INDEX(COCDV[Address],MATCH(COC!$I$6,COCDV[SAP Name],0)))</f>
        <v/>
      </c>
      <c r="I67" t="str">
        <f>IF(COC!I80="","",COC!I80)</f>
        <v/>
      </c>
      <c r="J67" t="str">
        <f>IF(COCRollupTbl[[#This Row],[COC Loc.]]="","",SplitString(COCRollupTbl[[#This Row],[COC Loc.]],2,", ")&amp;", "&amp;SplitString(COCRollupTbl[[#This Row],[COC Loc.]],3,", "))</f>
        <v/>
      </c>
      <c r="K67" t="str">
        <f>IF(COCRollupTbl[[#This Row],[COC Loc.]]="","",COCRollupTbl[[#This Row],[Source]]&amp;", "&amp;COCRollupTbl[[#This Row],[Type]]&amp;", "&amp;COCRollupTbl[[#This Row],[COC Loc.]])</f>
        <v/>
      </c>
      <c r="L67" t="str">
        <f>IF(COC!E80="","",COC!E80)</f>
        <v/>
      </c>
      <c r="M67" t="str">
        <f>IF(COC!H80="","",COC!H80)</f>
        <v/>
      </c>
      <c r="N67" t="str">
        <f>IF(COCRollupTbl[[#This Row],[COC Loc.]]="","",SplitString(COCRollupTbl[[#This Row],[COC Loc.]],1,", "))</f>
        <v/>
      </c>
      <c r="O67" t="str">
        <f>IF(COCRollupTbl[[#This Row],[COC Loc.]]="","",SplitString(COCRollupTbl[[#This Row],[COC Loc.]],2,", "))</f>
        <v/>
      </c>
      <c r="T67" t="str">
        <f>IF(COC!K80="","",COC!K80)</f>
        <v/>
      </c>
      <c r="U67" t="str">
        <f>IF(COC!L80="","",COC!L80)</f>
        <v/>
      </c>
      <c r="V67" t="str">
        <f>IF(COC!M80="","",COC!M80)</f>
        <v/>
      </c>
      <c r="X6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8" spans="2:25" x14ac:dyDescent="0.2">
      <c r="B68">
        <f>COC!A81</f>
        <v>67</v>
      </c>
      <c r="C68" t="str">
        <f>COC!O81</f>
        <v/>
      </c>
      <c r="D68" s="46" t="str">
        <f>IF(COC!C81="","",COC!C81)</f>
        <v/>
      </c>
      <c r="E68" s="37" t="str">
        <f>IF(COC!D81="","",COC!D81)</f>
        <v/>
      </c>
      <c r="G68" t="str">
        <f>IF(COC!I81="","",INDEX(COCDV[Facility],MATCH(COC!$I$6,COCDV[SAP Name],0)))</f>
        <v/>
      </c>
      <c r="H68" t="str">
        <f>IF(COC!I81="","",INDEX(COCDV[Address],MATCH(COC!$I$6,COCDV[SAP Name],0)))</f>
        <v/>
      </c>
      <c r="I68" t="str">
        <f>IF(COC!I81="","",COC!I81)</f>
        <v/>
      </c>
      <c r="J68" t="str">
        <f>IF(COCRollupTbl[[#This Row],[COC Loc.]]="","",SplitString(COCRollupTbl[[#This Row],[COC Loc.]],2,", ")&amp;", "&amp;SplitString(COCRollupTbl[[#This Row],[COC Loc.]],3,", "))</f>
        <v/>
      </c>
      <c r="K68" t="str">
        <f>IF(COCRollupTbl[[#This Row],[COC Loc.]]="","",COCRollupTbl[[#This Row],[Source]]&amp;", "&amp;COCRollupTbl[[#This Row],[Type]]&amp;", "&amp;COCRollupTbl[[#This Row],[COC Loc.]])</f>
        <v/>
      </c>
      <c r="L68" t="str">
        <f>IF(COC!E81="","",COC!E81)</f>
        <v/>
      </c>
      <c r="M68" t="str">
        <f>IF(COC!H81="","",COC!H81)</f>
        <v/>
      </c>
      <c r="N68" t="str">
        <f>IF(COCRollupTbl[[#This Row],[COC Loc.]]="","",SplitString(COCRollupTbl[[#This Row],[COC Loc.]],1,", "))</f>
        <v/>
      </c>
      <c r="O68" t="str">
        <f>IF(COCRollupTbl[[#This Row],[COC Loc.]]="","",SplitString(COCRollupTbl[[#This Row],[COC Loc.]],2,", "))</f>
        <v/>
      </c>
      <c r="T68" t="str">
        <f>IF(COC!K81="","",COC!K81)</f>
        <v/>
      </c>
      <c r="U68" t="str">
        <f>IF(COC!L81="","",COC!L81)</f>
        <v/>
      </c>
      <c r="V68" t="str">
        <f>IF(COC!M81="","",COC!M81)</f>
        <v/>
      </c>
      <c r="X6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9" spans="2:25" x14ac:dyDescent="0.2">
      <c r="B69">
        <f>COC!A82</f>
        <v>68</v>
      </c>
      <c r="C69" t="str">
        <f>COC!O82</f>
        <v/>
      </c>
      <c r="D69" s="46" t="str">
        <f>IF(COC!C82="","",COC!C82)</f>
        <v/>
      </c>
      <c r="E69" s="37" t="str">
        <f>IF(COC!D82="","",COC!D82)</f>
        <v/>
      </c>
      <c r="G69" t="str">
        <f>IF(COC!I82="","",INDEX(COCDV[Facility],MATCH(COC!$I$6,COCDV[SAP Name],0)))</f>
        <v/>
      </c>
      <c r="H69" t="str">
        <f>IF(COC!I82="","",INDEX(COCDV[Address],MATCH(COC!$I$6,COCDV[SAP Name],0)))</f>
        <v/>
      </c>
      <c r="I69" t="str">
        <f>IF(COC!I82="","",COC!I82)</f>
        <v/>
      </c>
      <c r="J69" t="str">
        <f>IF(COCRollupTbl[[#This Row],[COC Loc.]]="","",SplitString(COCRollupTbl[[#This Row],[COC Loc.]],2,", ")&amp;", "&amp;SplitString(COCRollupTbl[[#This Row],[COC Loc.]],3,", "))</f>
        <v/>
      </c>
      <c r="K69" t="str">
        <f>IF(COCRollupTbl[[#This Row],[COC Loc.]]="","",COCRollupTbl[[#This Row],[Source]]&amp;", "&amp;COCRollupTbl[[#This Row],[Type]]&amp;", "&amp;COCRollupTbl[[#This Row],[COC Loc.]])</f>
        <v/>
      </c>
      <c r="L69" t="str">
        <f>IF(COC!E82="","",COC!E82)</f>
        <v/>
      </c>
      <c r="M69" t="str">
        <f>IF(COC!H82="","",COC!H82)</f>
        <v/>
      </c>
      <c r="N69" t="str">
        <f>IF(COCRollupTbl[[#This Row],[COC Loc.]]="","",SplitString(COCRollupTbl[[#This Row],[COC Loc.]],1,", "))</f>
        <v/>
      </c>
      <c r="O69" t="str">
        <f>IF(COCRollupTbl[[#This Row],[COC Loc.]]="","",SplitString(COCRollupTbl[[#This Row],[COC Loc.]],2,", "))</f>
        <v/>
      </c>
      <c r="T69" t="str">
        <f>IF(COC!K82="","",COC!K82)</f>
        <v/>
      </c>
      <c r="U69" t="str">
        <f>IF(COC!L82="","",COC!L82)</f>
        <v/>
      </c>
      <c r="V69" t="str">
        <f>IF(COC!M82="","",COC!M82)</f>
        <v/>
      </c>
      <c r="X6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0" spans="2:25" x14ac:dyDescent="0.2">
      <c r="B70">
        <f>COC!A83</f>
        <v>69</v>
      </c>
      <c r="C70" t="str">
        <f>COC!O83</f>
        <v/>
      </c>
      <c r="D70" s="46" t="str">
        <f>IF(COC!C83="","",COC!C83)</f>
        <v/>
      </c>
      <c r="E70" s="37" t="str">
        <f>IF(COC!D83="","",COC!D83)</f>
        <v/>
      </c>
      <c r="G70" t="str">
        <f>IF(COC!I83="","",INDEX(COCDV[Facility],MATCH(COC!$I$6,COCDV[SAP Name],0)))</f>
        <v/>
      </c>
      <c r="H70" t="str">
        <f>IF(COC!I83="","",INDEX(COCDV[Address],MATCH(COC!$I$6,COCDV[SAP Name],0)))</f>
        <v/>
      </c>
      <c r="I70" t="str">
        <f>IF(COC!I83="","",COC!I83)</f>
        <v/>
      </c>
      <c r="J70" t="str">
        <f>IF(COCRollupTbl[[#This Row],[COC Loc.]]="","",SplitString(COCRollupTbl[[#This Row],[COC Loc.]],2,", ")&amp;", "&amp;SplitString(COCRollupTbl[[#This Row],[COC Loc.]],3,", "))</f>
        <v/>
      </c>
      <c r="K70" t="str">
        <f>IF(COCRollupTbl[[#This Row],[COC Loc.]]="","",COCRollupTbl[[#This Row],[Source]]&amp;", "&amp;COCRollupTbl[[#This Row],[Type]]&amp;", "&amp;COCRollupTbl[[#This Row],[COC Loc.]])</f>
        <v/>
      </c>
      <c r="L70" t="str">
        <f>IF(COC!E83="","",COC!E83)</f>
        <v/>
      </c>
      <c r="M70" t="str">
        <f>IF(COC!H83="","",COC!H83)</f>
        <v/>
      </c>
      <c r="N70" t="str">
        <f>IF(COCRollupTbl[[#This Row],[COC Loc.]]="","",SplitString(COCRollupTbl[[#This Row],[COC Loc.]],1,", "))</f>
        <v/>
      </c>
      <c r="O70" t="str">
        <f>IF(COCRollupTbl[[#This Row],[COC Loc.]]="","",SplitString(COCRollupTbl[[#This Row],[COC Loc.]],2,", "))</f>
        <v/>
      </c>
      <c r="T70" t="str">
        <f>IF(COC!K83="","",COC!K83)</f>
        <v/>
      </c>
      <c r="U70" t="str">
        <f>IF(COC!L83="","",COC!L83)</f>
        <v/>
      </c>
      <c r="V70" t="str">
        <f>IF(COC!M83="","",COC!M83)</f>
        <v/>
      </c>
      <c r="X7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1" spans="2:25" x14ac:dyDescent="0.2">
      <c r="B71">
        <f>COC!A84</f>
        <v>70</v>
      </c>
      <c r="C71" t="str">
        <f>COC!O84</f>
        <v/>
      </c>
      <c r="D71" s="46" t="str">
        <f>IF(COC!C84="","",COC!C84)</f>
        <v/>
      </c>
      <c r="E71" s="37" t="str">
        <f>IF(COC!D84="","",COC!D84)</f>
        <v/>
      </c>
      <c r="G71" t="str">
        <f>IF(COC!I84="","",INDEX(COCDV[Facility],MATCH(COC!$I$6,COCDV[SAP Name],0)))</f>
        <v/>
      </c>
      <c r="H71" t="str">
        <f>IF(COC!I84="","",INDEX(COCDV[Address],MATCH(COC!$I$6,COCDV[SAP Name],0)))</f>
        <v/>
      </c>
      <c r="I71" t="str">
        <f>IF(COC!I84="","",COC!I84)</f>
        <v/>
      </c>
      <c r="J71" t="str">
        <f>IF(COCRollupTbl[[#This Row],[COC Loc.]]="","",SplitString(COCRollupTbl[[#This Row],[COC Loc.]],2,", ")&amp;", "&amp;SplitString(COCRollupTbl[[#This Row],[COC Loc.]],3,", "))</f>
        <v/>
      </c>
      <c r="K71" t="str">
        <f>IF(COCRollupTbl[[#This Row],[COC Loc.]]="","",COCRollupTbl[[#This Row],[Source]]&amp;", "&amp;COCRollupTbl[[#This Row],[Type]]&amp;", "&amp;COCRollupTbl[[#This Row],[COC Loc.]])</f>
        <v/>
      </c>
      <c r="L71" t="str">
        <f>IF(COC!E84="","",COC!E84)</f>
        <v/>
      </c>
      <c r="M71" t="str">
        <f>IF(COC!H84="","",COC!H84)</f>
        <v/>
      </c>
      <c r="N71" t="str">
        <f>IF(COCRollupTbl[[#This Row],[COC Loc.]]="","",SplitString(COCRollupTbl[[#This Row],[COC Loc.]],1,", "))</f>
        <v/>
      </c>
      <c r="O71" t="str">
        <f>IF(COCRollupTbl[[#This Row],[COC Loc.]]="","",SplitString(COCRollupTbl[[#This Row],[COC Loc.]],2,", "))</f>
        <v/>
      </c>
      <c r="T71" t="str">
        <f>IF(COC!K84="","",COC!K84)</f>
        <v/>
      </c>
      <c r="U71" t="str">
        <f>IF(COC!L84="","",COC!L84)</f>
        <v/>
      </c>
      <c r="V71" t="str">
        <f>IF(COC!M84="","",COC!M84)</f>
        <v/>
      </c>
      <c r="X7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2" spans="2:25" x14ac:dyDescent="0.2">
      <c r="B72">
        <f>COC!A85</f>
        <v>71</v>
      </c>
      <c r="C72" t="str">
        <f>COC!O85</f>
        <v/>
      </c>
      <c r="D72" s="46" t="str">
        <f>IF(COC!C85="","",COC!C85)</f>
        <v/>
      </c>
      <c r="E72" s="37" t="str">
        <f>IF(COC!D85="","",COC!D85)</f>
        <v/>
      </c>
      <c r="G72" t="str">
        <f>IF(COC!I85="","",INDEX(COCDV[Facility],MATCH(COC!$I$6,COCDV[SAP Name],0)))</f>
        <v/>
      </c>
      <c r="H72" t="str">
        <f>IF(COC!I85="","",INDEX(COCDV[Address],MATCH(COC!$I$6,COCDV[SAP Name],0)))</f>
        <v/>
      </c>
      <c r="I72" t="str">
        <f>IF(COC!I85="","",COC!I85)</f>
        <v/>
      </c>
      <c r="J72" t="str">
        <f>IF(COCRollupTbl[[#This Row],[COC Loc.]]="","",SplitString(COCRollupTbl[[#This Row],[COC Loc.]],2,", ")&amp;", "&amp;SplitString(COCRollupTbl[[#This Row],[COC Loc.]],3,", "))</f>
        <v/>
      </c>
      <c r="K72" t="str">
        <f>IF(COCRollupTbl[[#This Row],[COC Loc.]]="","",COCRollupTbl[[#This Row],[Source]]&amp;", "&amp;COCRollupTbl[[#This Row],[Type]]&amp;", "&amp;COCRollupTbl[[#This Row],[COC Loc.]])</f>
        <v/>
      </c>
      <c r="L72" t="str">
        <f>IF(COC!E85="","",COC!E85)</f>
        <v/>
      </c>
      <c r="M72" t="str">
        <f>IF(COC!H85="","",COC!H85)</f>
        <v/>
      </c>
      <c r="N72" t="str">
        <f>IF(COCRollupTbl[[#This Row],[COC Loc.]]="","",SplitString(COCRollupTbl[[#This Row],[COC Loc.]],1,", "))</f>
        <v/>
      </c>
      <c r="O72" t="str">
        <f>IF(COCRollupTbl[[#This Row],[COC Loc.]]="","",SplitString(COCRollupTbl[[#This Row],[COC Loc.]],2,", "))</f>
        <v/>
      </c>
      <c r="T72" t="str">
        <f>IF(COC!K85="","",COC!K85)</f>
        <v/>
      </c>
      <c r="U72" t="str">
        <f>IF(COC!L85="","",COC!L85)</f>
        <v/>
      </c>
      <c r="V72" t="str">
        <f>IF(COC!M85="","",COC!M85)</f>
        <v/>
      </c>
      <c r="X7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3" spans="2:25" x14ac:dyDescent="0.2">
      <c r="B73">
        <f>COC!A86</f>
        <v>72</v>
      </c>
      <c r="C73" t="str">
        <f>COC!O86</f>
        <v/>
      </c>
      <c r="D73" s="46" t="str">
        <f>IF(COC!C86="","",COC!C86)</f>
        <v/>
      </c>
      <c r="E73" s="37" t="str">
        <f>IF(COC!D86="","",COC!D86)</f>
        <v/>
      </c>
      <c r="G73" t="str">
        <f>IF(COC!I86="","",INDEX(COCDV[Facility],MATCH(COC!$I$6,COCDV[SAP Name],0)))</f>
        <v/>
      </c>
      <c r="H73" t="str">
        <f>IF(COC!I86="","",INDEX(COCDV[Address],MATCH(COC!$I$6,COCDV[SAP Name],0)))</f>
        <v/>
      </c>
      <c r="I73" t="str">
        <f>IF(COC!I86="","",COC!I86)</f>
        <v/>
      </c>
      <c r="J73" t="str">
        <f>IF(COCRollupTbl[[#This Row],[COC Loc.]]="","",SplitString(COCRollupTbl[[#This Row],[COC Loc.]],2,", ")&amp;", "&amp;SplitString(COCRollupTbl[[#This Row],[COC Loc.]],3,", "))</f>
        <v/>
      </c>
      <c r="K73" t="str">
        <f>IF(COCRollupTbl[[#This Row],[COC Loc.]]="","",COCRollupTbl[[#This Row],[Source]]&amp;", "&amp;COCRollupTbl[[#This Row],[Type]]&amp;", "&amp;COCRollupTbl[[#This Row],[COC Loc.]])</f>
        <v/>
      </c>
      <c r="L73" t="str">
        <f>IF(COC!E86="","",COC!E86)</f>
        <v/>
      </c>
      <c r="M73" t="str">
        <f>IF(COC!H86="","",COC!H86)</f>
        <v/>
      </c>
      <c r="N73" t="str">
        <f>IF(COCRollupTbl[[#This Row],[COC Loc.]]="","",SplitString(COCRollupTbl[[#This Row],[COC Loc.]],1,", "))</f>
        <v/>
      </c>
      <c r="O73" t="str">
        <f>IF(COCRollupTbl[[#This Row],[COC Loc.]]="","",SplitString(COCRollupTbl[[#This Row],[COC Loc.]],2,", "))</f>
        <v/>
      </c>
      <c r="T73" t="str">
        <f>IF(COC!K86="","",COC!K86)</f>
        <v/>
      </c>
      <c r="U73" t="str">
        <f>IF(COC!L86="","",COC!L86)</f>
        <v/>
      </c>
      <c r="V73" t="str">
        <f>IF(COC!M86="","",COC!M86)</f>
        <v/>
      </c>
      <c r="X7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4" spans="2:25" x14ac:dyDescent="0.2">
      <c r="B74">
        <f>COC!A87</f>
        <v>73</v>
      </c>
      <c r="C74" t="str">
        <f>COC!O87</f>
        <v/>
      </c>
      <c r="D74" s="46" t="str">
        <f>IF(COC!C87="","",COC!C87)</f>
        <v/>
      </c>
      <c r="E74" s="37" t="str">
        <f>IF(COC!D87="","",COC!D87)</f>
        <v/>
      </c>
      <c r="G74" t="str">
        <f>IF(COC!I87="","",INDEX(COCDV[Facility],MATCH(COC!$I$6,COCDV[SAP Name],0)))</f>
        <v/>
      </c>
      <c r="H74" t="str">
        <f>IF(COC!I87="","",INDEX(COCDV[Address],MATCH(COC!$I$6,COCDV[SAP Name],0)))</f>
        <v/>
      </c>
      <c r="I74" t="str">
        <f>IF(COC!I87="","",COC!I87)</f>
        <v/>
      </c>
      <c r="J74" t="str">
        <f>IF(COCRollupTbl[[#This Row],[COC Loc.]]="","",SplitString(COCRollupTbl[[#This Row],[COC Loc.]],2,", ")&amp;", "&amp;SplitString(COCRollupTbl[[#This Row],[COC Loc.]],3,", "))</f>
        <v/>
      </c>
      <c r="K74" t="str">
        <f>IF(COCRollupTbl[[#This Row],[COC Loc.]]="","",COCRollupTbl[[#This Row],[Source]]&amp;", "&amp;COCRollupTbl[[#This Row],[Type]]&amp;", "&amp;COCRollupTbl[[#This Row],[COC Loc.]])</f>
        <v/>
      </c>
      <c r="L74" t="str">
        <f>IF(COC!E87="","",COC!E87)</f>
        <v/>
      </c>
      <c r="M74" t="str">
        <f>IF(COC!H87="","",COC!H87)</f>
        <v/>
      </c>
      <c r="N74" t="str">
        <f>IF(COCRollupTbl[[#This Row],[COC Loc.]]="","",SplitString(COCRollupTbl[[#This Row],[COC Loc.]],1,", "))</f>
        <v/>
      </c>
      <c r="O74" t="str">
        <f>IF(COCRollupTbl[[#This Row],[COC Loc.]]="","",SplitString(COCRollupTbl[[#This Row],[COC Loc.]],2,", "))</f>
        <v/>
      </c>
      <c r="T74" t="str">
        <f>IF(COC!K87="","",COC!K87)</f>
        <v/>
      </c>
      <c r="U74" t="str">
        <f>IF(COC!L87="","",COC!L87)</f>
        <v/>
      </c>
      <c r="V74" t="str">
        <f>IF(COC!M87="","",COC!M87)</f>
        <v/>
      </c>
      <c r="X7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5" spans="2:25" x14ac:dyDescent="0.2">
      <c r="B75">
        <f>COC!A88</f>
        <v>74</v>
      </c>
      <c r="C75" t="str">
        <f>COC!O88</f>
        <v/>
      </c>
      <c r="D75" s="46" t="str">
        <f>IF(COC!C88="","",COC!C88)</f>
        <v/>
      </c>
      <c r="E75" s="37" t="str">
        <f>IF(COC!D88="","",COC!D88)</f>
        <v/>
      </c>
      <c r="G75" t="str">
        <f>IF(COC!I88="","",INDEX(COCDV[Facility],MATCH(COC!$I$6,COCDV[SAP Name],0)))</f>
        <v/>
      </c>
      <c r="H75" t="str">
        <f>IF(COC!I88="","",INDEX(COCDV[Address],MATCH(COC!$I$6,COCDV[SAP Name],0)))</f>
        <v/>
      </c>
      <c r="I75" t="str">
        <f>IF(COC!I88="","",COC!I88)</f>
        <v/>
      </c>
      <c r="J75" t="str">
        <f>IF(COCRollupTbl[[#This Row],[COC Loc.]]="","",SplitString(COCRollupTbl[[#This Row],[COC Loc.]],2,", ")&amp;", "&amp;SplitString(COCRollupTbl[[#This Row],[COC Loc.]],3,", "))</f>
        <v/>
      </c>
      <c r="K75" t="str">
        <f>IF(COCRollupTbl[[#This Row],[COC Loc.]]="","",COCRollupTbl[[#This Row],[Source]]&amp;", "&amp;COCRollupTbl[[#This Row],[Type]]&amp;", "&amp;COCRollupTbl[[#This Row],[COC Loc.]])</f>
        <v/>
      </c>
      <c r="L75" t="str">
        <f>IF(COC!E88="","",COC!E88)</f>
        <v/>
      </c>
      <c r="M75" t="str">
        <f>IF(COC!H88="","",COC!H88)</f>
        <v/>
      </c>
      <c r="N75" t="str">
        <f>IF(COCRollupTbl[[#This Row],[COC Loc.]]="","",SplitString(COCRollupTbl[[#This Row],[COC Loc.]],1,", "))</f>
        <v/>
      </c>
      <c r="O75" t="str">
        <f>IF(COCRollupTbl[[#This Row],[COC Loc.]]="","",SplitString(COCRollupTbl[[#This Row],[COC Loc.]],2,", "))</f>
        <v/>
      </c>
      <c r="T75" t="str">
        <f>IF(COC!K88="","",COC!K88)</f>
        <v/>
      </c>
      <c r="U75" t="str">
        <f>IF(COC!L88="","",COC!L88)</f>
        <v/>
      </c>
      <c r="V75" t="str">
        <f>IF(COC!M88="","",COC!M88)</f>
        <v/>
      </c>
      <c r="X7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6" spans="2:25" x14ac:dyDescent="0.2">
      <c r="B76">
        <f>COC!A89</f>
        <v>75</v>
      </c>
      <c r="C76" t="str">
        <f>COC!O89</f>
        <v/>
      </c>
      <c r="D76" s="46" t="str">
        <f>IF(COC!C89="","",COC!C89)</f>
        <v/>
      </c>
      <c r="E76" s="37" t="str">
        <f>IF(COC!D89="","",COC!D89)</f>
        <v/>
      </c>
      <c r="G76" t="str">
        <f>IF(COC!I89="","",INDEX(COCDV[Facility],MATCH(COC!$I$6,COCDV[SAP Name],0)))</f>
        <v/>
      </c>
      <c r="H76" t="str">
        <f>IF(COC!I89="","",INDEX(COCDV[Address],MATCH(COC!$I$6,COCDV[SAP Name],0)))</f>
        <v/>
      </c>
      <c r="I76" t="str">
        <f>IF(COC!I89="","",COC!I89)</f>
        <v/>
      </c>
      <c r="J76" t="str">
        <f>IF(COCRollupTbl[[#This Row],[COC Loc.]]="","",SplitString(COCRollupTbl[[#This Row],[COC Loc.]],2,", ")&amp;", "&amp;SplitString(COCRollupTbl[[#This Row],[COC Loc.]],3,", "))</f>
        <v/>
      </c>
      <c r="K76" t="str">
        <f>IF(COCRollupTbl[[#This Row],[COC Loc.]]="","",COCRollupTbl[[#This Row],[Source]]&amp;", "&amp;COCRollupTbl[[#This Row],[Type]]&amp;", "&amp;COCRollupTbl[[#This Row],[COC Loc.]])</f>
        <v/>
      </c>
      <c r="L76" t="str">
        <f>IF(COC!E89="","",COC!E89)</f>
        <v/>
      </c>
      <c r="M76" t="str">
        <f>IF(COC!H89="","",COC!H89)</f>
        <v/>
      </c>
      <c r="N76" t="str">
        <f>IF(COCRollupTbl[[#This Row],[COC Loc.]]="","",SplitString(COCRollupTbl[[#This Row],[COC Loc.]],1,", "))</f>
        <v/>
      </c>
      <c r="O76" t="str">
        <f>IF(COCRollupTbl[[#This Row],[COC Loc.]]="","",SplitString(COCRollupTbl[[#This Row],[COC Loc.]],2,", "))</f>
        <v/>
      </c>
      <c r="T76" t="str">
        <f>IF(COC!K89="","",COC!K89)</f>
        <v/>
      </c>
      <c r="U76" t="str">
        <f>IF(COC!L89="","",COC!L89)</f>
        <v/>
      </c>
      <c r="V76" t="str">
        <f>IF(COC!M89="","",COC!M89)</f>
        <v/>
      </c>
      <c r="X7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7" spans="2:25" x14ac:dyDescent="0.2">
      <c r="B77">
        <f>COC!A90</f>
        <v>76</v>
      </c>
      <c r="C77" t="str">
        <f>COC!O90</f>
        <v/>
      </c>
      <c r="D77" s="46" t="str">
        <f>IF(COC!C90="","",COC!C90)</f>
        <v/>
      </c>
      <c r="E77" s="37" t="str">
        <f>IF(COC!D90="","",COC!D90)</f>
        <v/>
      </c>
      <c r="G77" t="str">
        <f>IF(COC!I90="","",INDEX(COCDV[Facility],MATCH(COC!$I$6,COCDV[SAP Name],0)))</f>
        <v/>
      </c>
      <c r="H77" t="str">
        <f>IF(COC!I90="","",INDEX(COCDV[Address],MATCH(COC!$I$6,COCDV[SAP Name],0)))</f>
        <v/>
      </c>
      <c r="I77" t="str">
        <f>IF(COC!I90="","",COC!I90)</f>
        <v/>
      </c>
      <c r="J77" t="str">
        <f>IF(COCRollupTbl[[#This Row],[COC Loc.]]="","",SplitString(COCRollupTbl[[#This Row],[COC Loc.]],2,", ")&amp;", "&amp;SplitString(COCRollupTbl[[#This Row],[COC Loc.]],3,", "))</f>
        <v/>
      </c>
      <c r="K77" t="str">
        <f>IF(COCRollupTbl[[#This Row],[COC Loc.]]="","",COCRollupTbl[[#This Row],[Source]]&amp;", "&amp;COCRollupTbl[[#This Row],[Type]]&amp;", "&amp;COCRollupTbl[[#This Row],[COC Loc.]])</f>
        <v/>
      </c>
      <c r="L77" t="str">
        <f>IF(COC!E90="","",COC!E90)</f>
        <v/>
      </c>
      <c r="M77" t="str">
        <f>IF(COC!H90="","",COC!H90)</f>
        <v/>
      </c>
      <c r="N77" t="str">
        <f>IF(COCRollupTbl[[#This Row],[COC Loc.]]="","",SplitString(COCRollupTbl[[#This Row],[COC Loc.]],1,", "))</f>
        <v/>
      </c>
      <c r="O77" t="str">
        <f>IF(COCRollupTbl[[#This Row],[COC Loc.]]="","",SplitString(COCRollupTbl[[#This Row],[COC Loc.]],2,", "))</f>
        <v/>
      </c>
      <c r="T77" t="str">
        <f>IF(COC!K90="","",COC!K90)</f>
        <v/>
      </c>
      <c r="U77" t="str">
        <f>IF(COC!L90="","",COC!L90)</f>
        <v/>
      </c>
      <c r="V77" t="str">
        <f>IF(COC!M90="","",COC!M90)</f>
        <v/>
      </c>
      <c r="X7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8" spans="2:25" x14ac:dyDescent="0.2">
      <c r="B78">
        <f>COC!A91</f>
        <v>77</v>
      </c>
      <c r="C78" t="str">
        <f>COC!O91</f>
        <v/>
      </c>
      <c r="D78" s="46" t="str">
        <f>IF(COC!C91="","",COC!C91)</f>
        <v/>
      </c>
      <c r="E78" s="37" t="str">
        <f>IF(COC!D91="","",COC!D91)</f>
        <v/>
      </c>
      <c r="G78" t="str">
        <f>IF(COC!I91="","",INDEX(COCDV[Facility],MATCH(COC!$I$6,COCDV[SAP Name],0)))</f>
        <v/>
      </c>
      <c r="H78" t="str">
        <f>IF(COC!I91="","",INDEX(COCDV[Address],MATCH(COC!$I$6,COCDV[SAP Name],0)))</f>
        <v/>
      </c>
      <c r="I78" t="str">
        <f>IF(COC!I91="","",COC!I91)</f>
        <v/>
      </c>
      <c r="J78" t="str">
        <f>IF(COCRollupTbl[[#This Row],[COC Loc.]]="","",SplitString(COCRollupTbl[[#This Row],[COC Loc.]],2,", ")&amp;", "&amp;SplitString(COCRollupTbl[[#This Row],[COC Loc.]],3,", "))</f>
        <v/>
      </c>
      <c r="K78" t="str">
        <f>IF(COCRollupTbl[[#This Row],[COC Loc.]]="","",COCRollupTbl[[#This Row],[Source]]&amp;", "&amp;COCRollupTbl[[#This Row],[Type]]&amp;", "&amp;COCRollupTbl[[#This Row],[COC Loc.]])</f>
        <v/>
      </c>
      <c r="L78" t="str">
        <f>IF(COC!E91="","",COC!E91)</f>
        <v/>
      </c>
      <c r="M78" t="str">
        <f>IF(COC!H91="","",COC!H91)</f>
        <v/>
      </c>
      <c r="N78" t="str">
        <f>IF(COCRollupTbl[[#This Row],[COC Loc.]]="","",SplitString(COCRollupTbl[[#This Row],[COC Loc.]],1,", "))</f>
        <v/>
      </c>
      <c r="O78" t="str">
        <f>IF(COCRollupTbl[[#This Row],[COC Loc.]]="","",SplitString(COCRollupTbl[[#This Row],[COC Loc.]],2,", "))</f>
        <v/>
      </c>
      <c r="T78" t="str">
        <f>IF(COC!K91="","",COC!K91)</f>
        <v/>
      </c>
      <c r="U78" t="str">
        <f>IF(COC!L91="","",COC!L91)</f>
        <v/>
      </c>
      <c r="V78" t="str">
        <f>IF(COC!M91="","",COC!M91)</f>
        <v/>
      </c>
      <c r="X7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9" spans="2:25" x14ac:dyDescent="0.2">
      <c r="B79">
        <f>COC!A92</f>
        <v>78</v>
      </c>
      <c r="C79" t="str">
        <f>COC!O92</f>
        <v/>
      </c>
      <c r="D79" s="46" t="str">
        <f>IF(COC!C92="","",COC!C92)</f>
        <v/>
      </c>
      <c r="E79" s="37" t="str">
        <f>IF(COC!D92="","",COC!D92)</f>
        <v/>
      </c>
      <c r="G79" t="str">
        <f>IF(COC!I92="","",INDEX(COCDV[Facility],MATCH(COC!$I$6,COCDV[SAP Name],0)))</f>
        <v/>
      </c>
      <c r="H79" t="str">
        <f>IF(COC!I92="","",INDEX(COCDV[Address],MATCH(COC!$I$6,COCDV[SAP Name],0)))</f>
        <v/>
      </c>
      <c r="I79" t="str">
        <f>IF(COC!I92="","",COC!I92)</f>
        <v/>
      </c>
      <c r="J79" t="str">
        <f>IF(COCRollupTbl[[#This Row],[COC Loc.]]="","",SplitString(COCRollupTbl[[#This Row],[COC Loc.]],2,", ")&amp;", "&amp;SplitString(COCRollupTbl[[#This Row],[COC Loc.]],3,", "))</f>
        <v/>
      </c>
      <c r="K79" t="str">
        <f>IF(COCRollupTbl[[#This Row],[COC Loc.]]="","",COCRollupTbl[[#This Row],[Source]]&amp;", "&amp;COCRollupTbl[[#This Row],[Type]]&amp;", "&amp;COCRollupTbl[[#This Row],[COC Loc.]])</f>
        <v/>
      </c>
      <c r="L79" t="str">
        <f>IF(COC!E92="","",COC!E92)</f>
        <v/>
      </c>
      <c r="M79" t="str">
        <f>IF(COC!H92="","",COC!H92)</f>
        <v/>
      </c>
      <c r="N79" t="str">
        <f>IF(COCRollupTbl[[#This Row],[COC Loc.]]="","",SplitString(COCRollupTbl[[#This Row],[COC Loc.]],1,", "))</f>
        <v/>
      </c>
      <c r="O79" t="str">
        <f>IF(COCRollupTbl[[#This Row],[COC Loc.]]="","",SplitString(COCRollupTbl[[#This Row],[COC Loc.]],2,", "))</f>
        <v/>
      </c>
      <c r="T79" t="str">
        <f>IF(COC!K92="","",COC!K92)</f>
        <v/>
      </c>
      <c r="U79" t="str">
        <f>IF(COC!L92="","",COC!L92)</f>
        <v/>
      </c>
      <c r="V79" t="str">
        <f>IF(COC!M92="","",COC!M92)</f>
        <v/>
      </c>
      <c r="X7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0" spans="2:25" x14ac:dyDescent="0.2">
      <c r="B80">
        <f>COC!A93</f>
        <v>79</v>
      </c>
      <c r="C80" t="str">
        <f>COC!O93</f>
        <v/>
      </c>
      <c r="D80" s="46" t="str">
        <f>IF(COC!C93="","",COC!C93)</f>
        <v/>
      </c>
      <c r="E80" s="37" t="str">
        <f>IF(COC!D93="","",COC!D93)</f>
        <v/>
      </c>
      <c r="G80" t="str">
        <f>IF(COC!I93="","",INDEX(COCDV[Facility],MATCH(COC!$I$6,COCDV[SAP Name],0)))</f>
        <v/>
      </c>
      <c r="H80" t="str">
        <f>IF(COC!I93="","",INDEX(COCDV[Address],MATCH(COC!$I$6,COCDV[SAP Name],0)))</f>
        <v/>
      </c>
      <c r="I80" t="str">
        <f>IF(COC!I93="","",COC!I93)</f>
        <v/>
      </c>
      <c r="J80" t="str">
        <f>IF(COCRollupTbl[[#This Row],[COC Loc.]]="","",SplitString(COCRollupTbl[[#This Row],[COC Loc.]],2,", ")&amp;", "&amp;SplitString(COCRollupTbl[[#This Row],[COC Loc.]],3,", "))</f>
        <v/>
      </c>
      <c r="K80" t="str">
        <f>IF(COCRollupTbl[[#This Row],[COC Loc.]]="","",COCRollupTbl[[#This Row],[Source]]&amp;", "&amp;COCRollupTbl[[#This Row],[Type]]&amp;", "&amp;COCRollupTbl[[#This Row],[COC Loc.]])</f>
        <v/>
      </c>
      <c r="L80" t="str">
        <f>IF(COC!E93="","",COC!E93)</f>
        <v/>
      </c>
      <c r="M80" t="str">
        <f>IF(COC!H93="","",COC!H93)</f>
        <v/>
      </c>
      <c r="N80" t="str">
        <f>IF(COCRollupTbl[[#This Row],[COC Loc.]]="","",SplitString(COCRollupTbl[[#This Row],[COC Loc.]],1,", "))</f>
        <v/>
      </c>
      <c r="O80" t="str">
        <f>IF(COCRollupTbl[[#This Row],[COC Loc.]]="","",SplitString(COCRollupTbl[[#This Row],[COC Loc.]],2,", "))</f>
        <v/>
      </c>
      <c r="T80" t="str">
        <f>IF(COC!K93="","",COC!K93)</f>
        <v/>
      </c>
      <c r="U80" t="str">
        <f>IF(COC!L93="","",COC!L93)</f>
        <v/>
      </c>
      <c r="V80" t="str">
        <f>IF(COC!M93="","",COC!M93)</f>
        <v/>
      </c>
      <c r="X8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1" spans="2:25" x14ac:dyDescent="0.2">
      <c r="B81">
        <f>COC!A94</f>
        <v>80</v>
      </c>
      <c r="C81" t="str">
        <f>COC!O94</f>
        <v/>
      </c>
      <c r="D81" s="46" t="str">
        <f>IF(COC!C94="","",COC!C94)</f>
        <v/>
      </c>
      <c r="E81" s="37" t="str">
        <f>IF(COC!D94="","",COC!D94)</f>
        <v/>
      </c>
      <c r="G81" t="str">
        <f>IF(COC!I94="","",INDEX(COCDV[Facility],MATCH(COC!$I$6,COCDV[SAP Name],0)))</f>
        <v/>
      </c>
      <c r="H81" t="str">
        <f>IF(COC!I94="","",INDEX(COCDV[Address],MATCH(COC!$I$6,COCDV[SAP Name],0)))</f>
        <v/>
      </c>
      <c r="I81" t="str">
        <f>IF(COC!I94="","",COC!I94)</f>
        <v/>
      </c>
      <c r="J81" t="str">
        <f>IF(COCRollupTbl[[#This Row],[COC Loc.]]="","",SplitString(COCRollupTbl[[#This Row],[COC Loc.]],2,", ")&amp;", "&amp;SplitString(COCRollupTbl[[#This Row],[COC Loc.]],3,", "))</f>
        <v/>
      </c>
      <c r="K81" t="str">
        <f>IF(COCRollupTbl[[#This Row],[COC Loc.]]="","",COCRollupTbl[[#This Row],[Source]]&amp;", "&amp;COCRollupTbl[[#This Row],[Type]]&amp;", "&amp;COCRollupTbl[[#This Row],[COC Loc.]])</f>
        <v/>
      </c>
      <c r="L81" t="str">
        <f>IF(COC!E94="","",COC!E94)</f>
        <v/>
      </c>
      <c r="M81" t="str">
        <f>IF(COC!H94="","",COC!H94)</f>
        <v/>
      </c>
      <c r="N81" t="str">
        <f>IF(COCRollupTbl[[#This Row],[COC Loc.]]="","",SplitString(COCRollupTbl[[#This Row],[COC Loc.]],1,", "))</f>
        <v/>
      </c>
      <c r="O81" t="str">
        <f>IF(COCRollupTbl[[#This Row],[COC Loc.]]="","",SplitString(COCRollupTbl[[#This Row],[COC Loc.]],2,", "))</f>
        <v/>
      </c>
      <c r="T81" t="str">
        <f>IF(COC!K94="","",COC!K94)</f>
        <v/>
      </c>
      <c r="U81" t="str">
        <f>IF(COC!L94="","",COC!L94)</f>
        <v/>
      </c>
      <c r="V81" t="str">
        <f>IF(COC!M94="","",COC!M94)</f>
        <v/>
      </c>
      <c r="X8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2" spans="2:25" x14ac:dyDescent="0.2">
      <c r="B82">
        <f>COC!A95</f>
        <v>81</v>
      </c>
      <c r="C82" t="str">
        <f>COC!O95</f>
        <v/>
      </c>
      <c r="D82" s="46" t="str">
        <f>IF(COC!C95="","",COC!C95)</f>
        <v/>
      </c>
      <c r="E82" s="37" t="str">
        <f>IF(COC!D95="","",COC!D95)</f>
        <v/>
      </c>
      <c r="G82" t="str">
        <f>IF(COC!I95="","",INDEX(COCDV[Facility],MATCH(COC!$I$6,COCDV[SAP Name],0)))</f>
        <v/>
      </c>
      <c r="H82" t="str">
        <f>IF(COC!I95="","",INDEX(COCDV[Address],MATCH(COC!$I$6,COCDV[SAP Name],0)))</f>
        <v/>
      </c>
      <c r="I82" t="str">
        <f>IF(COC!I95="","",COC!I95)</f>
        <v/>
      </c>
      <c r="J82" t="str">
        <f>IF(COCRollupTbl[[#This Row],[COC Loc.]]="","",SplitString(COCRollupTbl[[#This Row],[COC Loc.]],2,", ")&amp;", "&amp;SplitString(COCRollupTbl[[#This Row],[COC Loc.]],3,", "))</f>
        <v/>
      </c>
      <c r="K82" t="str">
        <f>IF(COCRollupTbl[[#This Row],[COC Loc.]]="","",COCRollupTbl[[#This Row],[Source]]&amp;", "&amp;COCRollupTbl[[#This Row],[Type]]&amp;", "&amp;COCRollupTbl[[#This Row],[COC Loc.]])</f>
        <v/>
      </c>
      <c r="L82" t="str">
        <f>IF(COC!E95="","",COC!E95)</f>
        <v/>
      </c>
      <c r="M82" t="str">
        <f>IF(COC!H95="","",COC!H95)</f>
        <v/>
      </c>
      <c r="N82" t="str">
        <f>IF(COCRollupTbl[[#This Row],[COC Loc.]]="","",SplitString(COCRollupTbl[[#This Row],[COC Loc.]],1,", "))</f>
        <v/>
      </c>
      <c r="O82" t="str">
        <f>IF(COCRollupTbl[[#This Row],[COC Loc.]]="","",SplitString(COCRollupTbl[[#This Row],[COC Loc.]],2,", "))</f>
        <v/>
      </c>
      <c r="T82" t="str">
        <f>IF(COC!K95="","",COC!K95)</f>
        <v/>
      </c>
      <c r="U82" t="str">
        <f>IF(COC!L95="","",COC!L95)</f>
        <v/>
      </c>
      <c r="V82" t="str">
        <f>IF(COC!M95="","",COC!M95)</f>
        <v/>
      </c>
      <c r="X8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3" spans="2:25" x14ac:dyDescent="0.2">
      <c r="B83">
        <f>COC!A96</f>
        <v>82</v>
      </c>
      <c r="C83" t="str">
        <f>COC!O96</f>
        <v/>
      </c>
      <c r="D83" s="46" t="str">
        <f>IF(COC!C96="","",COC!C96)</f>
        <v/>
      </c>
      <c r="E83" s="37" t="str">
        <f>IF(COC!D96="","",COC!D96)</f>
        <v/>
      </c>
      <c r="G83" t="str">
        <f>IF(COC!I96="","",INDEX(COCDV[Facility],MATCH(COC!$I$6,COCDV[SAP Name],0)))</f>
        <v/>
      </c>
      <c r="H83" t="str">
        <f>IF(COC!I96="","",INDEX(COCDV[Address],MATCH(COC!$I$6,COCDV[SAP Name],0)))</f>
        <v/>
      </c>
      <c r="I83" t="str">
        <f>IF(COC!I96="","",COC!I96)</f>
        <v/>
      </c>
      <c r="J83" t="str">
        <f>IF(COCRollupTbl[[#This Row],[COC Loc.]]="","",SplitString(COCRollupTbl[[#This Row],[COC Loc.]],2,", ")&amp;", "&amp;SplitString(COCRollupTbl[[#This Row],[COC Loc.]],3,", "))</f>
        <v/>
      </c>
      <c r="K83" t="str">
        <f>IF(COCRollupTbl[[#This Row],[COC Loc.]]="","",COCRollupTbl[[#This Row],[Source]]&amp;", "&amp;COCRollupTbl[[#This Row],[Type]]&amp;", "&amp;COCRollupTbl[[#This Row],[COC Loc.]])</f>
        <v/>
      </c>
      <c r="L83" t="str">
        <f>IF(COC!E96="","",COC!E96)</f>
        <v/>
      </c>
      <c r="M83" t="str">
        <f>IF(COC!H96="","",COC!H96)</f>
        <v/>
      </c>
      <c r="N83" t="str">
        <f>IF(COCRollupTbl[[#This Row],[COC Loc.]]="","",SplitString(COCRollupTbl[[#This Row],[COC Loc.]],1,", "))</f>
        <v/>
      </c>
      <c r="O83" t="str">
        <f>IF(COCRollupTbl[[#This Row],[COC Loc.]]="","",SplitString(COCRollupTbl[[#This Row],[COC Loc.]],2,", "))</f>
        <v/>
      </c>
      <c r="T83" t="str">
        <f>IF(COC!K96="","",COC!K96)</f>
        <v/>
      </c>
      <c r="U83" t="str">
        <f>IF(COC!L96="","",COC!L96)</f>
        <v/>
      </c>
      <c r="V83" t="str">
        <f>IF(COC!M96="","",COC!M96)</f>
        <v/>
      </c>
      <c r="X8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4" spans="2:25" x14ac:dyDescent="0.2">
      <c r="B84">
        <f>COC!A97</f>
        <v>83</v>
      </c>
      <c r="C84" t="str">
        <f>COC!O97</f>
        <v/>
      </c>
      <c r="D84" s="46" t="str">
        <f>IF(COC!C97="","",COC!C97)</f>
        <v/>
      </c>
      <c r="E84" s="37" t="str">
        <f>IF(COC!D97="","",COC!D97)</f>
        <v/>
      </c>
      <c r="G84" t="str">
        <f>IF(COC!I97="","",INDEX(COCDV[Facility],MATCH(COC!$I$6,COCDV[SAP Name],0)))</f>
        <v/>
      </c>
      <c r="H84" t="str">
        <f>IF(COC!I97="","",INDEX(COCDV[Address],MATCH(COC!$I$6,COCDV[SAP Name],0)))</f>
        <v/>
      </c>
      <c r="I84" t="str">
        <f>IF(COC!I97="","",COC!I97)</f>
        <v/>
      </c>
      <c r="J84" t="str">
        <f>IF(COCRollupTbl[[#This Row],[COC Loc.]]="","",SplitString(COCRollupTbl[[#This Row],[COC Loc.]],2,", ")&amp;", "&amp;SplitString(COCRollupTbl[[#This Row],[COC Loc.]],3,", "))</f>
        <v/>
      </c>
      <c r="K84" t="str">
        <f>IF(COCRollupTbl[[#This Row],[COC Loc.]]="","",COCRollupTbl[[#This Row],[Source]]&amp;", "&amp;COCRollupTbl[[#This Row],[Type]]&amp;", "&amp;COCRollupTbl[[#This Row],[COC Loc.]])</f>
        <v/>
      </c>
      <c r="L84" t="str">
        <f>IF(COC!E97="","",COC!E97)</f>
        <v/>
      </c>
      <c r="M84" t="str">
        <f>IF(COC!H97="","",COC!H97)</f>
        <v/>
      </c>
      <c r="N84" t="str">
        <f>IF(COCRollupTbl[[#This Row],[COC Loc.]]="","",SplitString(COCRollupTbl[[#This Row],[COC Loc.]],1,", "))</f>
        <v/>
      </c>
      <c r="O84" t="str">
        <f>IF(COCRollupTbl[[#This Row],[COC Loc.]]="","",SplitString(COCRollupTbl[[#This Row],[COC Loc.]],2,", "))</f>
        <v/>
      </c>
      <c r="T84" t="str">
        <f>IF(COC!K97="","",COC!K97)</f>
        <v/>
      </c>
      <c r="U84" t="str">
        <f>IF(COC!L97="","",COC!L97)</f>
        <v/>
      </c>
      <c r="V84" t="str">
        <f>IF(COC!M97="","",COC!M97)</f>
        <v/>
      </c>
      <c r="X8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5" spans="2:25" x14ac:dyDescent="0.2">
      <c r="B85">
        <f>COC!A98</f>
        <v>84</v>
      </c>
      <c r="C85" t="str">
        <f>COC!O98</f>
        <v/>
      </c>
      <c r="D85" s="46" t="str">
        <f>IF(COC!C98="","",COC!C98)</f>
        <v/>
      </c>
      <c r="E85" s="37" t="str">
        <f>IF(COC!D98="","",COC!D98)</f>
        <v/>
      </c>
      <c r="G85" t="str">
        <f>IF(COC!I98="","",INDEX(COCDV[Facility],MATCH(COC!$I$6,COCDV[SAP Name],0)))</f>
        <v/>
      </c>
      <c r="H85" t="str">
        <f>IF(COC!I98="","",INDEX(COCDV[Address],MATCH(COC!$I$6,COCDV[SAP Name],0)))</f>
        <v/>
      </c>
      <c r="I85" t="str">
        <f>IF(COC!I98="","",COC!I98)</f>
        <v/>
      </c>
      <c r="J85" t="str">
        <f>IF(COCRollupTbl[[#This Row],[COC Loc.]]="","",SplitString(COCRollupTbl[[#This Row],[COC Loc.]],2,", ")&amp;", "&amp;SplitString(COCRollupTbl[[#This Row],[COC Loc.]],3,", "))</f>
        <v/>
      </c>
      <c r="K85" t="str">
        <f>IF(COCRollupTbl[[#This Row],[COC Loc.]]="","",COCRollupTbl[[#This Row],[Source]]&amp;", "&amp;COCRollupTbl[[#This Row],[Type]]&amp;", "&amp;COCRollupTbl[[#This Row],[COC Loc.]])</f>
        <v/>
      </c>
      <c r="L85" t="str">
        <f>IF(COC!E98="","",COC!E98)</f>
        <v/>
      </c>
      <c r="M85" t="str">
        <f>IF(COC!H98="","",COC!H98)</f>
        <v/>
      </c>
      <c r="N85" t="str">
        <f>IF(COCRollupTbl[[#This Row],[COC Loc.]]="","",SplitString(COCRollupTbl[[#This Row],[COC Loc.]],1,", "))</f>
        <v/>
      </c>
      <c r="O85" t="str">
        <f>IF(COCRollupTbl[[#This Row],[COC Loc.]]="","",SplitString(COCRollupTbl[[#This Row],[COC Loc.]],2,", "))</f>
        <v/>
      </c>
      <c r="T85" t="str">
        <f>IF(COC!K98="","",COC!K98)</f>
        <v/>
      </c>
      <c r="U85" t="str">
        <f>IF(COC!L98="","",COC!L98)</f>
        <v/>
      </c>
      <c r="V85" t="str">
        <f>IF(COC!M98="","",COC!M98)</f>
        <v/>
      </c>
      <c r="X8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6" spans="2:25" x14ac:dyDescent="0.2">
      <c r="B86">
        <f>COC!A99</f>
        <v>85</v>
      </c>
      <c r="C86" t="str">
        <f>COC!O99</f>
        <v/>
      </c>
      <c r="D86" s="46" t="str">
        <f>IF(COC!C99="","",COC!C99)</f>
        <v/>
      </c>
      <c r="E86" s="37" t="str">
        <f>IF(COC!D99="","",COC!D99)</f>
        <v/>
      </c>
      <c r="G86" t="str">
        <f>IF(COC!I99="","",INDEX(COCDV[Facility],MATCH(COC!$I$6,COCDV[SAP Name],0)))</f>
        <v/>
      </c>
      <c r="H86" t="str">
        <f>IF(COC!I99="","",INDEX(COCDV[Address],MATCH(COC!$I$6,COCDV[SAP Name],0)))</f>
        <v/>
      </c>
      <c r="I86" t="str">
        <f>IF(COC!I99="","",COC!I99)</f>
        <v/>
      </c>
      <c r="J86" t="str">
        <f>IF(COCRollupTbl[[#This Row],[COC Loc.]]="","",SplitString(COCRollupTbl[[#This Row],[COC Loc.]],2,", ")&amp;", "&amp;SplitString(COCRollupTbl[[#This Row],[COC Loc.]],3,", "))</f>
        <v/>
      </c>
      <c r="K86" t="str">
        <f>IF(COCRollupTbl[[#This Row],[COC Loc.]]="","",COCRollupTbl[[#This Row],[Source]]&amp;", "&amp;COCRollupTbl[[#This Row],[Type]]&amp;", "&amp;COCRollupTbl[[#This Row],[COC Loc.]])</f>
        <v/>
      </c>
      <c r="L86" t="str">
        <f>IF(COC!E99="","",COC!E99)</f>
        <v/>
      </c>
      <c r="M86" t="str">
        <f>IF(COC!H99="","",COC!H99)</f>
        <v/>
      </c>
      <c r="N86" t="str">
        <f>IF(COCRollupTbl[[#This Row],[COC Loc.]]="","",SplitString(COCRollupTbl[[#This Row],[COC Loc.]],1,", "))</f>
        <v/>
      </c>
      <c r="O86" t="str">
        <f>IF(COCRollupTbl[[#This Row],[COC Loc.]]="","",SplitString(COCRollupTbl[[#This Row],[COC Loc.]],2,", "))</f>
        <v/>
      </c>
      <c r="T86" t="str">
        <f>IF(COC!K99="","",COC!K99)</f>
        <v/>
      </c>
      <c r="U86" t="str">
        <f>IF(COC!L99="","",COC!L99)</f>
        <v/>
      </c>
      <c r="V86" t="str">
        <f>IF(COC!M99="","",COC!M99)</f>
        <v/>
      </c>
      <c r="X8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7" spans="2:25" x14ac:dyDescent="0.2">
      <c r="B87">
        <f>COC!A100</f>
        <v>86</v>
      </c>
      <c r="C87" t="str">
        <f>COC!O100</f>
        <v/>
      </c>
      <c r="D87" s="46" t="str">
        <f>IF(COC!C100="","",COC!C100)</f>
        <v/>
      </c>
      <c r="E87" s="37" t="str">
        <f>IF(COC!D100="","",COC!D100)</f>
        <v/>
      </c>
      <c r="G87" t="str">
        <f>IF(COC!I100="","",INDEX(COCDV[Facility],MATCH(COC!$I$6,COCDV[SAP Name],0)))</f>
        <v/>
      </c>
      <c r="H87" t="str">
        <f>IF(COC!I100="","",INDEX(COCDV[Address],MATCH(COC!$I$6,COCDV[SAP Name],0)))</f>
        <v/>
      </c>
      <c r="I87" t="str">
        <f>IF(COC!I100="","",COC!I100)</f>
        <v/>
      </c>
      <c r="J87" t="str">
        <f>IF(COCRollupTbl[[#This Row],[COC Loc.]]="","",SplitString(COCRollupTbl[[#This Row],[COC Loc.]],2,", ")&amp;", "&amp;SplitString(COCRollupTbl[[#This Row],[COC Loc.]],3,", "))</f>
        <v/>
      </c>
      <c r="K87" t="str">
        <f>IF(COCRollupTbl[[#This Row],[COC Loc.]]="","",COCRollupTbl[[#This Row],[Source]]&amp;", "&amp;COCRollupTbl[[#This Row],[Type]]&amp;", "&amp;COCRollupTbl[[#This Row],[COC Loc.]])</f>
        <v/>
      </c>
      <c r="L87" t="str">
        <f>IF(COC!E100="","",COC!E100)</f>
        <v/>
      </c>
      <c r="M87" t="str">
        <f>IF(COC!H100="","",COC!H100)</f>
        <v/>
      </c>
      <c r="N87" t="str">
        <f>IF(COCRollupTbl[[#This Row],[COC Loc.]]="","",SplitString(COCRollupTbl[[#This Row],[COC Loc.]],1,", "))</f>
        <v/>
      </c>
      <c r="O87" t="str">
        <f>IF(COCRollupTbl[[#This Row],[COC Loc.]]="","",SplitString(COCRollupTbl[[#This Row],[COC Loc.]],2,", "))</f>
        <v/>
      </c>
      <c r="T87" t="str">
        <f>IF(COC!K100="","",COC!K100)</f>
        <v/>
      </c>
      <c r="U87" t="str">
        <f>IF(COC!L100="","",COC!L100)</f>
        <v/>
      </c>
      <c r="V87" t="str">
        <f>IF(COC!M100="","",COC!M100)</f>
        <v/>
      </c>
      <c r="X8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8" spans="2:25" x14ac:dyDescent="0.2">
      <c r="B88">
        <f>COC!A101</f>
        <v>87</v>
      </c>
      <c r="C88" t="str">
        <f>COC!O101</f>
        <v/>
      </c>
      <c r="D88" s="46" t="str">
        <f>IF(COC!C101="","",COC!C101)</f>
        <v/>
      </c>
      <c r="E88" s="37" t="str">
        <f>IF(COC!D101="","",COC!D101)</f>
        <v/>
      </c>
      <c r="G88" t="str">
        <f>IF(COC!I101="","",INDEX(COCDV[Facility],MATCH(COC!$I$6,COCDV[SAP Name],0)))</f>
        <v/>
      </c>
      <c r="H88" t="str">
        <f>IF(COC!I101="","",INDEX(COCDV[Address],MATCH(COC!$I$6,COCDV[SAP Name],0)))</f>
        <v/>
      </c>
      <c r="I88" t="str">
        <f>IF(COC!I101="","",COC!I101)</f>
        <v/>
      </c>
      <c r="J88" t="str">
        <f>IF(COCRollupTbl[[#This Row],[COC Loc.]]="","",SplitString(COCRollupTbl[[#This Row],[COC Loc.]],2,", ")&amp;", "&amp;SplitString(COCRollupTbl[[#This Row],[COC Loc.]],3,", "))</f>
        <v/>
      </c>
      <c r="K88" t="str">
        <f>IF(COCRollupTbl[[#This Row],[COC Loc.]]="","",COCRollupTbl[[#This Row],[Source]]&amp;", "&amp;COCRollupTbl[[#This Row],[Type]]&amp;", "&amp;COCRollupTbl[[#This Row],[COC Loc.]])</f>
        <v/>
      </c>
      <c r="L88" t="str">
        <f>IF(COC!E101="","",COC!E101)</f>
        <v/>
      </c>
      <c r="M88" t="str">
        <f>IF(COC!H101="","",COC!H101)</f>
        <v/>
      </c>
      <c r="N88" t="str">
        <f>IF(COCRollupTbl[[#This Row],[COC Loc.]]="","",SplitString(COCRollupTbl[[#This Row],[COC Loc.]],1,", "))</f>
        <v/>
      </c>
      <c r="O88" t="str">
        <f>IF(COCRollupTbl[[#This Row],[COC Loc.]]="","",SplitString(COCRollupTbl[[#This Row],[COC Loc.]],2,", "))</f>
        <v/>
      </c>
      <c r="T88" t="str">
        <f>IF(COC!K101="","",COC!K101)</f>
        <v/>
      </c>
      <c r="U88" t="str">
        <f>IF(COC!L101="","",COC!L101)</f>
        <v/>
      </c>
      <c r="V88" t="str">
        <f>IF(COC!M101="","",COC!M101)</f>
        <v/>
      </c>
      <c r="X8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9" spans="2:25" x14ac:dyDescent="0.2">
      <c r="B89">
        <f>COC!A102</f>
        <v>88</v>
      </c>
      <c r="C89" t="str">
        <f>COC!O102</f>
        <v/>
      </c>
      <c r="D89" s="46" t="str">
        <f>IF(COC!C102="","",COC!C102)</f>
        <v/>
      </c>
      <c r="E89" s="37" t="str">
        <f>IF(COC!D102="","",COC!D102)</f>
        <v/>
      </c>
      <c r="G89" t="str">
        <f>IF(COC!I102="","",INDEX(COCDV[Facility],MATCH(COC!$I$6,COCDV[SAP Name],0)))</f>
        <v/>
      </c>
      <c r="H89" t="str">
        <f>IF(COC!I102="","",INDEX(COCDV[Address],MATCH(COC!$I$6,COCDV[SAP Name],0)))</f>
        <v/>
      </c>
      <c r="I89" t="str">
        <f>IF(COC!I102="","",COC!I102)</f>
        <v/>
      </c>
      <c r="J89" t="str">
        <f>IF(COCRollupTbl[[#This Row],[COC Loc.]]="","",SplitString(COCRollupTbl[[#This Row],[COC Loc.]],2,", ")&amp;", "&amp;SplitString(COCRollupTbl[[#This Row],[COC Loc.]],3,", "))</f>
        <v/>
      </c>
      <c r="K89" t="str">
        <f>IF(COCRollupTbl[[#This Row],[COC Loc.]]="","",COCRollupTbl[[#This Row],[Source]]&amp;", "&amp;COCRollupTbl[[#This Row],[Type]]&amp;", "&amp;COCRollupTbl[[#This Row],[COC Loc.]])</f>
        <v/>
      </c>
      <c r="L89" t="str">
        <f>IF(COC!E102="","",COC!E102)</f>
        <v/>
      </c>
      <c r="M89" t="str">
        <f>IF(COC!H102="","",COC!H102)</f>
        <v/>
      </c>
      <c r="N89" t="str">
        <f>IF(COCRollupTbl[[#This Row],[COC Loc.]]="","",SplitString(COCRollupTbl[[#This Row],[COC Loc.]],1,", "))</f>
        <v/>
      </c>
      <c r="O89" t="str">
        <f>IF(COCRollupTbl[[#This Row],[COC Loc.]]="","",SplitString(COCRollupTbl[[#This Row],[COC Loc.]],2,", "))</f>
        <v/>
      </c>
      <c r="T89" t="str">
        <f>IF(COC!K102="","",COC!K102)</f>
        <v/>
      </c>
      <c r="U89" t="str">
        <f>IF(COC!L102="","",COC!L102)</f>
        <v/>
      </c>
      <c r="V89" t="str">
        <f>IF(COC!M102="","",COC!M102)</f>
        <v/>
      </c>
      <c r="X8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0" spans="2:25" x14ac:dyDescent="0.2">
      <c r="B90">
        <f>COC!A103</f>
        <v>89</v>
      </c>
      <c r="C90" t="str">
        <f>COC!O103</f>
        <v/>
      </c>
      <c r="D90" s="46" t="str">
        <f>IF(COC!C103="","",COC!C103)</f>
        <v/>
      </c>
      <c r="E90" s="37" t="str">
        <f>IF(COC!D103="","",COC!D103)</f>
        <v/>
      </c>
      <c r="G90" t="str">
        <f>IF(COC!I103="","",INDEX(COCDV[Facility],MATCH(COC!$I$6,COCDV[SAP Name],0)))</f>
        <v/>
      </c>
      <c r="H90" t="str">
        <f>IF(COC!I103="","",INDEX(COCDV[Address],MATCH(COC!$I$6,COCDV[SAP Name],0)))</f>
        <v/>
      </c>
      <c r="I90" t="str">
        <f>IF(COC!I103="","",COC!I103)</f>
        <v/>
      </c>
      <c r="J90" t="str">
        <f>IF(COCRollupTbl[[#This Row],[COC Loc.]]="","",SplitString(COCRollupTbl[[#This Row],[COC Loc.]],2,", ")&amp;", "&amp;SplitString(COCRollupTbl[[#This Row],[COC Loc.]],3,", "))</f>
        <v/>
      </c>
      <c r="K90" t="str">
        <f>IF(COCRollupTbl[[#This Row],[COC Loc.]]="","",COCRollupTbl[[#This Row],[Source]]&amp;", "&amp;COCRollupTbl[[#This Row],[Type]]&amp;", "&amp;COCRollupTbl[[#This Row],[COC Loc.]])</f>
        <v/>
      </c>
      <c r="L90" t="str">
        <f>IF(COC!E103="","",COC!E103)</f>
        <v/>
      </c>
      <c r="M90" t="str">
        <f>IF(COC!H103="","",COC!H103)</f>
        <v/>
      </c>
      <c r="N90" t="str">
        <f>IF(COCRollupTbl[[#This Row],[COC Loc.]]="","",SplitString(COCRollupTbl[[#This Row],[COC Loc.]],1,", "))</f>
        <v/>
      </c>
      <c r="O90" t="str">
        <f>IF(COCRollupTbl[[#This Row],[COC Loc.]]="","",SplitString(COCRollupTbl[[#This Row],[COC Loc.]],2,", "))</f>
        <v/>
      </c>
      <c r="T90" t="str">
        <f>IF(COC!K103="","",COC!K103)</f>
        <v/>
      </c>
      <c r="U90" t="str">
        <f>IF(COC!L103="","",COC!L103)</f>
        <v/>
      </c>
      <c r="V90" t="str">
        <f>IF(COC!M103="","",COC!M103)</f>
        <v/>
      </c>
      <c r="X9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1" spans="2:25" x14ac:dyDescent="0.2">
      <c r="B91">
        <f>COC!A104</f>
        <v>90</v>
      </c>
      <c r="C91" t="str">
        <f>COC!O104</f>
        <v/>
      </c>
      <c r="D91" s="46" t="str">
        <f>IF(COC!C104="","",COC!C104)</f>
        <v/>
      </c>
      <c r="E91" s="37" t="str">
        <f>IF(COC!D104="","",COC!D104)</f>
        <v/>
      </c>
      <c r="G91" t="str">
        <f>IF(COC!I104="","",INDEX(COCDV[Facility],MATCH(COC!$I$6,COCDV[SAP Name],0)))</f>
        <v/>
      </c>
      <c r="H91" t="str">
        <f>IF(COC!I104="","",INDEX(COCDV[Address],MATCH(COC!$I$6,COCDV[SAP Name],0)))</f>
        <v/>
      </c>
      <c r="I91" t="str">
        <f>IF(COC!I104="","",COC!I104)</f>
        <v/>
      </c>
      <c r="J91" t="str">
        <f>IF(COCRollupTbl[[#This Row],[COC Loc.]]="","",SplitString(COCRollupTbl[[#This Row],[COC Loc.]],2,", ")&amp;", "&amp;SplitString(COCRollupTbl[[#This Row],[COC Loc.]],3,", "))</f>
        <v/>
      </c>
      <c r="K91" t="str">
        <f>IF(COCRollupTbl[[#This Row],[COC Loc.]]="","",COCRollupTbl[[#This Row],[Source]]&amp;", "&amp;COCRollupTbl[[#This Row],[Type]]&amp;", "&amp;COCRollupTbl[[#This Row],[COC Loc.]])</f>
        <v/>
      </c>
      <c r="L91" t="str">
        <f>IF(COC!E104="","",COC!E104)</f>
        <v/>
      </c>
      <c r="M91" t="str">
        <f>IF(COC!H104="","",COC!H104)</f>
        <v/>
      </c>
      <c r="N91" t="str">
        <f>IF(COCRollupTbl[[#This Row],[COC Loc.]]="","",SplitString(COCRollupTbl[[#This Row],[COC Loc.]],1,", "))</f>
        <v/>
      </c>
      <c r="O91" t="str">
        <f>IF(COCRollupTbl[[#This Row],[COC Loc.]]="","",SplitString(COCRollupTbl[[#This Row],[COC Loc.]],2,", "))</f>
        <v/>
      </c>
      <c r="T91" t="str">
        <f>IF(COC!K104="","",COC!K104)</f>
        <v/>
      </c>
      <c r="U91" t="str">
        <f>IF(COC!L104="","",COC!L104)</f>
        <v/>
      </c>
      <c r="V91" t="str">
        <f>IF(COC!M104="","",COC!M104)</f>
        <v/>
      </c>
      <c r="X9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2" spans="2:25" x14ac:dyDescent="0.2">
      <c r="B92">
        <f>COC!A105</f>
        <v>91</v>
      </c>
      <c r="C92" t="str">
        <f>COC!O105</f>
        <v/>
      </c>
      <c r="D92" s="46" t="str">
        <f>IF(COC!C105="","",COC!C105)</f>
        <v/>
      </c>
      <c r="E92" s="37" t="str">
        <f>IF(COC!D105="","",COC!D105)</f>
        <v/>
      </c>
      <c r="G92" t="str">
        <f>IF(COC!I105="","",INDEX(COCDV[Facility],MATCH(COC!$I$6,COCDV[SAP Name],0)))</f>
        <v/>
      </c>
      <c r="H92" t="str">
        <f>IF(COC!I105="","",INDEX(COCDV[Address],MATCH(COC!$I$6,COCDV[SAP Name],0)))</f>
        <v/>
      </c>
      <c r="I92" t="str">
        <f>IF(COC!I105="","",COC!I105)</f>
        <v/>
      </c>
      <c r="J92" t="str">
        <f>IF(COCRollupTbl[[#This Row],[COC Loc.]]="","",SplitString(COCRollupTbl[[#This Row],[COC Loc.]],2,", ")&amp;", "&amp;SplitString(COCRollupTbl[[#This Row],[COC Loc.]],3,", "))</f>
        <v/>
      </c>
      <c r="K92" t="str">
        <f>IF(COCRollupTbl[[#This Row],[COC Loc.]]="","",COCRollupTbl[[#This Row],[Source]]&amp;", "&amp;COCRollupTbl[[#This Row],[Type]]&amp;", "&amp;COCRollupTbl[[#This Row],[COC Loc.]])</f>
        <v/>
      </c>
      <c r="L92" t="str">
        <f>IF(COC!E105="","",COC!E105)</f>
        <v/>
      </c>
      <c r="M92" t="str">
        <f>IF(COC!H105="","",COC!H105)</f>
        <v/>
      </c>
      <c r="N92" t="str">
        <f>IF(COCRollupTbl[[#This Row],[COC Loc.]]="","",SplitString(COCRollupTbl[[#This Row],[COC Loc.]],1,", "))</f>
        <v/>
      </c>
      <c r="O92" t="str">
        <f>IF(COCRollupTbl[[#This Row],[COC Loc.]]="","",SplitString(COCRollupTbl[[#This Row],[COC Loc.]],2,", "))</f>
        <v/>
      </c>
      <c r="T92" t="str">
        <f>IF(COC!K105="","",COC!K105)</f>
        <v/>
      </c>
      <c r="U92" t="str">
        <f>IF(COC!L105="","",COC!L105)</f>
        <v/>
      </c>
      <c r="V92" t="str">
        <f>IF(COC!M105="","",COC!M105)</f>
        <v/>
      </c>
      <c r="X9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3" spans="2:25" x14ac:dyDescent="0.2">
      <c r="B93">
        <f>COC!A106</f>
        <v>92</v>
      </c>
      <c r="C93" t="str">
        <f>COC!O106</f>
        <v/>
      </c>
      <c r="D93" s="46" t="str">
        <f>IF(COC!C106="","",COC!C106)</f>
        <v/>
      </c>
      <c r="E93" s="37" t="str">
        <f>IF(COC!D106="","",COC!D106)</f>
        <v/>
      </c>
      <c r="G93" t="str">
        <f>IF(COC!I106="","",INDEX(COCDV[Facility],MATCH(COC!$I$6,COCDV[SAP Name],0)))</f>
        <v/>
      </c>
      <c r="H93" t="str">
        <f>IF(COC!I106="","",INDEX(COCDV[Address],MATCH(COC!$I$6,COCDV[SAP Name],0)))</f>
        <v/>
      </c>
      <c r="I93" t="str">
        <f>IF(COC!I106="","",COC!I106)</f>
        <v/>
      </c>
      <c r="J93" t="str">
        <f>IF(COCRollupTbl[[#This Row],[COC Loc.]]="","",SplitString(COCRollupTbl[[#This Row],[COC Loc.]],2,", ")&amp;", "&amp;SplitString(COCRollupTbl[[#This Row],[COC Loc.]],3,", "))</f>
        <v/>
      </c>
      <c r="K93" t="str">
        <f>IF(COCRollupTbl[[#This Row],[COC Loc.]]="","",COCRollupTbl[[#This Row],[Source]]&amp;", "&amp;COCRollupTbl[[#This Row],[Type]]&amp;", "&amp;COCRollupTbl[[#This Row],[COC Loc.]])</f>
        <v/>
      </c>
      <c r="L93" t="str">
        <f>IF(COC!E106="","",COC!E106)</f>
        <v/>
      </c>
      <c r="M93" t="str">
        <f>IF(COC!H106="","",COC!H106)</f>
        <v/>
      </c>
      <c r="N93" t="str">
        <f>IF(COCRollupTbl[[#This Row],[COC Loc.]]="","",SplitString(COCRollupTbl[[#This Row],[COC Loc.]],1,", "))</f>
        <v/>
      </c>
      <c r="O93" t="str">
        <f>IF(COCRollupTbl[[#This Row],[COC Loc.]]="","",SplitString(COCRollupTbl[[#This Row],[COC Loc.]],2,", "))</f>
        <v/>
      </c>
      <c r="T93" t="str">
        <f>IF(COC!K106="","",COC!K106)</f>
        <v/>
      </c>
      <c r="U93" t="str">
        <f>IF(COC!L106="","",COC!L106)</f>
        <v/>
      </c>
      <c r="V93" t="str">
        <f>IF(COC!M106="","",COC!M106)</f>
        <v/>
      </c>
      <c r="X9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4" spans="2:25" x14ac:dyDescent="0.2">
      <c r="B94">
        <f>COC!A107</f>
        <v>93</v>
      </c>
      <c r="C94" t="str">
        <f>COC!O107</f>
        <v/>
      </c>
      <c r="D94" s="46" t="str">
        <f>IF(COC!C107="","",COC!C107)</f>
        <v/>
      </c>
      <c r="E94" s="37" t="str">
        <f>IF(COC!D107="","",COC!D107)</f>
        <v/>
      </c>
      <c r="G94" t="str">
        <f>IF(COC!I107="","",INDEX(COCDV[Facility],MATCH(COC!$I$6,COCDV[SAP Name],0)))</f>
        <v/>
      </c>
      <c r="H94" t="str">
        <f>IF(COC!I107="","",INDEX(COCDV[Address],MATCH(COC!$I$6,COCDV[SAP Name],0)))</f>
        <v/>
      </c>
      <c r="I94" t="str">
        <f>IF(COC!I107="","",COC!I107)</f>
        <v/>
      </c>
      <c r="J94" t="str">
        <f>IF(COCRollupTbl[[#This Row],[COC Loc.]]="","",SplitString(COCRollupTbl[[#This Row],[COC Loc.]],2,", ")&amp;", "&amp;SplitString(COCRollupTbl[[#This Row],[COC Loc.]],3,", "))</f>
        <v/>
      </c>
      <c r="K94" t="str">
        <f>IF(COCRollupTbl[[#This Row],[COC Loc.]]="","",COCRollupTbl[[#This Row],[Source]]&amp;", "&amp;COCRollupTbl[[#This Row],[Type]]&amp;", "&amp;COCRollupTbl[[#This Row],[COC Loc.]])</f>
        <v/>
      </c>
      <c r="L94" t="str">
        <f>IF(COC!E107="","",COC!E107)</f>
        <v/>
      </c>
      <c r="M94" t="str">
        <f>IF(COC!H107="","",COC!H107)</f>
        <v/>
      </c>
      <c r="N94" t="str">
        <f>IF(COCRollupTbl[[#This Row],[COC Loc.]]="","",SplitString(COCRollupTbl[[#This Row],[COC Loc.]],1,", "))</f>
        <v/>
      </c>
      <c r="O94" t="str">
        <f>IF(COCRollupTbl[[#This Row],[COC Loc.]]="","",SplitString(COCRollupTbl[[#This Row],[COC Loc.]],2,", "))</f>
        <v/>
      </c>
      <c r="T94" t="str">
        <f>IF(COC!K107="","",COC!K107)</f>
        <v/>
      </c>
      <c r="U94" t="str">
        <f>IF(COC!L107="","",COC!L107)</f>
        <v/>
      </c>
      <c r="V94" t="str">
        <f>IF(COC!M107="","",COC!M107)</f>
        <v/>
      </c>
      <c r="X9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5" spans="2:25" x14ac:dyDescent="0.2">
      <c r="B95">
        <f>COC!A108</f>
        <v>94</v>
      </c>
      <c r="C95" t="str">
        <f>COC!O108</f>
        <v/>
      </c>
      <c r="D95" s="46" t="str">
        <f>IF(COC!C108="","",COC!C108)</f>
        <v/>
      </c>
      <c r="E95" s="37" t="str">
        <f>IF(COC!D108="","",COC!D108)</f>
        <v/>
      </c>
      <c r="G95" t="str">
        <f>IF(COC!I108="","",INDEX(COCDV[Facility],MATCH(COC!$I$6,COCDV[SAP Name],0)))</f>
        <v/>
      </c>
      <c r="H95" t="str">
        <f>IF(COC!I108="","",INDEX(COCDV[Address],MATCH(COC!$I$6,COCDV[SAP Name],0)))</f>
        <v/>
      </c>
      <c r="I95" t="str">
        <f>IF(COC!I108="","",COC!I108)</f>
        <v/>
      </c>
      <c r="J95" t="str">
        <f>IF(COCRollupTbl[[#This Row],[COC Loc.]]="","",SplitString(COCRollupTbl[[#This Row],[COC Loc.]],2,", ")&amp;", "&amp;SplitString(COCRollupTbl[[#This Row],[COC Loc.]],3,", "))</f>
        <v/>
      </c>
      <c r="K95" t="str">
        <f>IF(COCRollupTbl[[#This Row],[COC Loc.]]="","",COCRollupTbl[[#This Row],[Source]]&amp;", "&amp;COCRollupTbl[[#This Row],[Type]]&amp;", "&amp;COCRollupTbl[[#This Row],[COC Loc.]])</f>
        <v/>
      </c>
      <c r="L95" t="str">
        <f>IF(COC!E108="","",COC!E108)</f>
        <v/>
      </c>
      <c r="M95" t="str">
        <f>IF(COC!H108="","",COC!H108)</f>
        <v/>
      </c>
      <c r="N95" t="str">
        <f>IF(COCRollupTbl[[#This Row],[COC Loc.]]="","",SplitString(COCRollupTbl[[#This Row],[COC Loc.]],1,", "))</f>
        <v/>
      </c>
      <c r="O95" t="str">
        <f>IF(COCRollupTbl[[#This Row],[COC Loc.]]="","",SplitString(COCRollupTbl[[#This Row],[COC Loc.]],2,", "))</f>
        <v/>
      </c>
      <c r="T95" t="str">
        <f>IF(COC!K108="","",COC!K108)</f>
        <v/>
      </c>
      <c r="U95" t="str">
        <f>IF(COC!L108="","",COC!L108)</f>
        <v/>
      </c>
      <c r="V95" t="str">
        <f>IF(COC!M108="","",COC!M108)</f>
        <v/>
      </c>
      <c r="X9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6" spans="2:25" x14ac:dyDescent="0.2">
      <c r="B96">
        <f>COC!A109</f>
        <v>95</v>
      </c>
      <c r="C96" t="str">
        <f>COC!O109</f>
        <v/>
      </c>
      <c r="D96" s="46" t="str">
        <f>IF(COC!C109="","",COC!C109)</f>
        <v/>
      </c>
      <c r="E96" s="37" t="str">
        <f>IF(COC!D109="","",COC!D109)</f>
        <v/>
      </c>
      <c r="G96" t="str">
        <f>IF(COC!I109="","",INDEX(COCDV[Facility],MATCH(COC!$I$6,COCDV[SAP Name],0)))</f>
        <v/>
      </c>
      <c r="H96" t="str">
        <f>IF(COC!I109="","",INDEX(COCDV[Address],MATCH(COC!$I$6,COCDV[SAP Name],0)))</f>
        <v/>
      </c>
      <c r="I96" t="str">
        <f>IF(COC!I109="","",COC!I109)</f>
        <v/>
      </c>
      <c r="J96" t="str">
        <f>IF(COCRollupTbl[[#This Row],[COC Loc.]]="","",SplitString(COCRollupTbl[[#This Row],[COC Loc.]],2,", ")&amp;", "&amp;SplitString(COCRollupTbl[[#This Row],[COC Loc.]],3,", "))</f>
        <v/>
      </c>
      <c r="K96" t="str">
        <f>IF(COCRollupTbl[[#This Row],[COC Loc.]]="","",COCRollupTbl[[#This Row],[Source]]&amp;", "&amp;COCRollupTbl[[#This Row],[Type]]&amp;", "&amp;COCRollupTbl[[#This Row],[COC Loc.]])</f>
        <v/>
      </c>
      <c r="L96" t="str">
        <f>IF(COC!E109="","",COC!E109)</f>
        <v/>
      </c>
      <c r="M96" t="str">
        <f>IF(COC!H109="","",COC!H109)</f>
        <v/>
      </c>
      <c r="N96" t="str">
        <f>IF(COCRollupTbl[[#This Row],[COC Loc.]]="","",SplitString(COCRollupTbl[[#This Row],[COC Loc.]],1,", "))</f>
        <v/>
      </c>
      <c r="O96" t="str">
        <f>IF(COCRollupTbl[[#This Row],[COC Loc.]]="","",SplitString(COCRollupTbl[[#This Row],[COC Loc.]],2,", "))</f>
        <v/>
      </c>
      <c r="T96" t="str">
        <f>IF(COC!K109="","",COC!K109)</f>
        <v/>
      </c>
      <c r="U96" t="str">
        <f>IF(COC!L109="","",COC!L109)</f>
        <v/>
      </c>
      <c r="V96" t="str">
        <f>IF(COC!M109="","",COC!M109)</f>
        <v/>
      </c>
      <c r="X9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7" spans="2:25" x14ac:dyDescent="0.2">
      <c r="B97">
        <f>COC!A110</f>
        <v>96</v>
      </c>
      <c r="C97" t="str">
        <f>COC!O110</f>
        <v/>
      </c>
      <c r="D97" s="46" t="str">
        <f>IF(COC!C110="","",COC!C110)</f>
        <v/>
      </c>
      <c r="E97" s="37" t="str">
        <f>IF(COC!D110="","",COC!D110)</f>
        <v/>
      </c>
      <c r="G97" t="str">
        <f>IF(COC!I110="","",INDEX(COCDV[Facility],MATCH(COC!$I$6,COCDV[SAP Name],0)))</f>
        <v/>
      </c>
      <c r="H97" t="str">
        <f>IF(COC!I110="","",INDEX(COCDV[Address],MATCH(COC!$I$6,COCDV[SAP Name],0)))</f>
        <v/>
      </c>
      <c r="I97" t="str">
        <f>IF(COC!I110="","",COC!I110)</f>
        <v/>
      </c>
      <c r="J97" t="str">
        <f>IF(COCRollupTbl[[#This Row],[COC Loc.]]="","",SplitString(COCRollupTbl[[#This Row],[COC Loc.]],2,", ")&amp;", "&amp;SplitString(COCRollupTbl[[#This Row],[COC Loc.]],3,", "))</f>
        <v/>
      </c>
      <c r="K97" t="str">
        <f>IF(COCRollupTbl[[#This Row],[COC Loc.]]="","",COCRollupTbl[[#This Row],[Source]]&amp;", "&amp;COCRollupTbl[[#This Row],[Type]]&amp;", "&amp;COCRollupTbl[[#This Row],[COC Loc.]])</f>
        <v/>
      </c>
      <c r="L97" t="str">
        <f>IF(COC!E110="","",COC!E110)</f>
        <v/>
      </c>
      <c r="M97" t="str">
        <f>IF(COC!H110="","",COC!H110)</f>
        <v/>
      </c>
      <c r="N97" t="str">
        <f>IF(COCRollupTbl[[#This Row],[COC Loc.]]="","",SplitString(COCRollupTbl[[#This Row],[COC Loc.]],1,", "))</f>
        <v/>
      </c>
      <c r="O97" t="str">
        <f>IF(COCRollupTbl[[#This Row],[COC Loc.]]="","",SplitString(COCRollupTbl[[#This Row],[COC Loc.]],2,", "))</f>
        <v/>
      </c>
      <c r="T97" t="str">
        <f>IF(COC!K110="","",COC!K110)</f>
        <v/>
      </c>
      <c r="U97" t="str">
        <f>IF(COC!L110="","",COC!L110)</f>
        <v/>
      </c>
      <c r="V97" t="str">
        <f>IF(COC!M110="","",COC!M110)</f>
        <v/>
      </c>
      <c r="X9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8" spans="2:25" x14ac:dyDescent="0.2">
      <c r="B98">
        <f>COC!A111</f>
        <v>97</v>
      </c>
      <c r="C98" t="str">
        <f>COC!O111</f>
        <v/>
      </c>
      <c r="D98" s="46" t="str">
        <f>IF(COC!C111="","",COC!C111)</f>
        <v/>
      </c>
      <c r="E98" s="37" t="str">
        <f>IF(COC!D111="","",COC!D111)</f>
        <v/>
      </c>
      <c r="G98" t="str">
        <f>IF(COC!I111="","",INDEX(COCDV[Facility],MATCH(COC!$I$6,COCDV[SAP Name],0)))</f>
        <v/>
      </c>
      <c r="H98" t="str">
        <f>IF(COC!I111="","",INDEX(COCDV[Address],MATCH(COC!$I$6,COCDV[SAP Name],0)))</f>
        <v/>
      </c>
      <c r="I98" t="str">
        <f>IF(COC!I111="","",COC!I111)</f>
        <v/>
      </c>
      <c r="J98" t="str">
        <f>IF(COCRollupTbl[[#This Row],[COC Loc.]]="","",SplitString(COCRollupTbl[[#This Row],[COC Loc.]],2,", ")&amp;", "&amp;SplitString(COCRollupTbl[[#This Row],[COC Loc.]],3,", "))</f>
        <v/>
      </c>
      <c r="K98" t="str">
        <f>IF(COCRollupTbl[[#This Row],[COC Loc.]]="","",COCRollupTbl[[#This Row],[Source]]&amp;", "&amp;COCRollupTbl[[#This Row],[Type]]&amp;", "&amp;COCRollupTbl[[#This Row],[COC Loc.]])</f>
        <v/>
      </c>
      <c r="L98" t="str">
        <f>IF(COC!E111="","",COC!E111)</f>
        <v/>
      </c>
      <c r="M98" t="str">
        <f>IF(COC!H111="","",COC!H111)</f>
        <v/>
      </c>
      <c r="N98" t="str">
        <f>IF(COCRollupTbl[[#This Row],[COC Loc.]]="","",SplitString(COCRollupTbl[[#This Row],[COC Loc.]],1,", "))</f>
        <v/>
      </c>
      <c r="O98" t="str">
        <f>IF(COCRollupTbl[[#This Row],[COC Loc.]]="","",SplitString(COCRollupTbl[[#This Row],[COC Loc.]],2,", "))</f>
        <v/>
      </c>
      <c r="T98" t="str">
        <f>IF(COC!K111="","",COC!K111)</f>
        <v/>
      </c>
      <c r="U98" t="str">
        <f>IF(COC!L111="","",COC!L111)</f>
        <v/>
      </c>
      <c r="V98" t="str">
        <f>IF(COC!M111="","",COC!M111)</f>
        <v/>
      </c>
      <c r="X9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9" spans="2:25" x14ac:dyDescent="0.2">
      <c r="B99">
        <f>COC!A112</f>
        <v>98</v>
      </c>
      <c r="C99" t="str">
        <f>COC!O112</f>
        <v/>
      </c>
      <c r="D99" s="46" t="str">
        <f>IF(COC!C112="","",COC!C112)</f>
        <v/>
      </c>
      <c r="E99" s="37" t="str">
        <f>IF(COC!D112="","",COC!D112)</f>
        <v/>
      </c>
      <c r="G99" t="str">
        <f>IF(COC!I112="","",INDEX(COCDV[Facility],MATCH(COC!$I$6,COCDV[SAP Name],0)))</f>
        <v/>
      </c>
      <c r="H99" t="str">
        <f>IF(COC!I112="","",INDEX(COCDV[Address],MATCH(COC!$I$6,COCDV[SAP Name],0)))</f>
        <v/>
      </c>
      <c r="I99" t="str">
        <f>IF(COC!I112="","",COC!I112)</f>
        <v/>
      </c>
      <c r="J99" t="str">
        <f>IF(COCRollupTbl[[#This Row],[COC Loc.]]="","",SplitString(COCRollupTbl[[#This Row],[COC Loc.]],2,", ")&amp;", "&amp;SplitString(COCRollupTbl[[#This Row],[COC Loc.]],3,", "))</f>
        <v/>
      </c>
      <c r="K99" t="str">
        <f>IF(COCRollupTbl[[#This Row],[COC Loc.]]="","",COCRollupTbl[[#This Row],[Source]]&amp;", "&amp;COCRollupTbl[[#This Row],[Type]]&amp;", "&amp;COCRollupTbl[[#This Row],[COC Loc.]])</f>
        <v/>
      </c>
      <c r="L99" t="str">
        <f>IF(COC!E112="","",COC!E112)</f>
        <v/>
      </c>
      <c r="M99" t="str">
        <f>IF(COC!H112="","",COC!H112)</f>
        <v/>
      </c>
      <c r="N99" t="str">
        <f>IF(COCRollupTbl[[#This Row],[COC Loc.]]="","",SplitString(COCRollupTbl[[#This Row],[COC Loc.]],1,", "))</f>
        <v/>
      </c>
      <c r="O99" t="str">
        <f>IF(COCRollupTbl[[#This Row],[COC Loc.]]="","",SplitString(COCRollupTbl[[#This Row],[COC Loc.]],2,", "))</f>
        <v/>
      </c>
      <c r="T99" t="str">
        <f>IF(COC!K112="","",COC!K112)</f>
        <v/>
      </c>
      <c r="U99" t="str">
        <f>IF(COC!L112="","",COC!L112)</f>
        <v/>
      </c>
      <c r="V99" t="str">
        <f>IF(COC!M112="","",COC!M112)</f>
        <v/>
      </c>
      <c r="X9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0" spans="2:25" x14ac:dyDescent="0.2">
      <c r="B100">
        <f>COC!A113</f>
        <v>99</v>
      </c>
      <c r="C100" t="str">
        <f>COC!O113</f>
        <v/>
      </c>
      <c r="D100" s="46" t="str">
        <f>IF(COC!C113="","",COC!C113)</f>
        <v/>
      </c>
      <c r="E100" s="37" t="str">
        <f>IF(COC!D113="","",COC!D113)</f>
        <v/>
      </c>
      <c r="G100" t="str">
        <f>IF(COC!I113="","",INDEX(COCDV[Facility],MATCH(COC!$I$6,COCDV[SAP Name],0)))</f>
        <v/>
      </c>
      <c r="H100" t="str">
        <f>IF(COC!I113="","",INDEX(COCDV[Address],MATCH(COC!$I$6,COCDV[SAP Name],0)))</f>
        <v/>
      </c>
      <c r="I100" t="str">
        <f>IF(COC!I113="","",COC!I113)</f>
        <v/>
      </c>
      <c r="J100" t="str">
        <f>IF(COCRollupTbl[[#This Row],[COC Loc.]]="","",SplitString(COCRollupTbl[[#This Row],[COC Loc.]],2,", ")&amp;", "&amp;SplitString(COCRollupTbl[[#This Row],[COC Loc.]],3,", "))</f>
        <v/>
      </c>
      <c r="K100" t="str">
        <f>IF(COCRollupTbl[[#This Row],[COC Loc.]]="","",COCRollupTbl[[#This Row],[Source]]&amp;", "&amp;COCRollupTbl[[#This Row],[Type]]&amp;", "&amp;COCRollupTbl[[#This Row],[COC Loc.]])</f>
        <v/>
      </c>
      <c r="L100" t="str">
        <f>IF(COC!E113="","",COC!E113)</f>
        <v/>
      </c>
      <c r="M100" t="str">
        <f>IF(COC!H113="","",COC!H113)</f>
        <v/>
      </c>
      <c r="N100" t="str">
        <f>IF(COCRollupTbl[[#This Row],[COC Loc.]]="","",SplitString(COCRollupTbl[[#This Row],[COC Loc.]],1,", "))</f>
        <v/>
      </c>
      <c r="O100" t="str">
        <f>IF(COCRollupTbl[[#This Row],[COC Loc.]]="","",SplitString(COCRollupTbl[[#This Row],[COC Loc.]],2,", "))</f>
        <v/>
      </c>
      <c r="T100" t="str">
        <f>IF(COC!K113="","",COC!K113)</f>
        <v/>
      </c>
      <c r="U100" t="str">
        <f>IF(COC!L113="","",COC!L113)</f>
        <v/>
      </c>
      <c r="V100" t="str">
        <f>IF(COC!M113="","",COC!M113)</f>
        <v/>
      </c>
      <c r="X10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1" spans="2:25" x14ac:dyDescent="0.2">
      <c r="B101">
        <f>COC!A114</f>
        <v>100</v>
      </c>
      <c r="C101" t="str">
        <f>COC!O114</f>
        <v/>
      </c>
      <c r="D101" s="46" t="str">
        <f>IF(COC!C114="","",COC!C114)</f>
        <v/>
      </c>
      <c r="E101" s="37" t="str">
        <f>IF(COC!D114="","",COC!D114)</f>
        <v/>
      </c>
      <c r="G101" t="str">
        <f>IF(COC!I114="","",INDEX(COCDV[Facility],MATCH(COC!$I$6,COCDV[SAP Name],0)))</f>
        <v/>
      </c>
      <c r="H101" t="str">
        <f>IF(COC!I114="","",INDEX(COCDV[Address],MATCH(COC!$I$6,COCDV[SAP Name],0)))</f>
        <v/>
      </c>
      <c r="I101" t="str">
        <f>IF(COC!I114="","",COC!I114)</f>
        <v/>
      </c>
      <c r="J101" t="str">
        <f>IF(COCRollupTbl[[#This Row],[COC Loc.]]="","",SplitString(COCRollupTbl[[#This Row],[COC Loc.]],2,", ")&amp;", "&amp;SplitString(COCRollupTbl[[#This Row],[COC Loc.]],3,", "))</f>
        <v/>
      </c>
      <c r="K101" t="str">
        <f>IF(COCRollupTbl[[#This Row],[COC Loc.]]="","",COCRollupTbl[[#This Row],[Source]]&amp;", "&amp;COCRollupTbl[[#This Row],[Type]]&amp;", "&amp;COCRollupTbl[[#This Row],[COC Loc.]])</f>
        <v/>
      </c>
      <c r="L101" t="str">
        <f>IF(COC!E114="","",COC!E114)</f>
        <v/>
      </c>
      <c r="M101" t="str">
        <f>IF(COC!H114="","",COC!H114)</f>
        <v/>
      </c>
      <c r="N101" t="str">
        <f>IF(COCRollupTbl[[#This Row],[COC Loc.]]="","",SplitString(COCRollupTbl[[#This Row],[COC Loc.]],1,", "))</f>
        <v/>
      </c>
      <c r="O101" t="str">
        <f>IF(COCRollupTbl[[#This Row],[COC Loc.]]="","",SplitString(COCRollupTbl[[#This Row],[COC Loc.]],2,", "))</f>
        <v/>
      </c>
      <c r="T101" t="str">
        <f>IF(COC!K114="","",COC!K114)</f>
        <v/>
      </c>
      <c r="U101" t="str">
        <f>IF(COC!L114="","",COC!L114)</f>
        <v/>
      </c>
      <c r="V101" t="str">
        <f>IF(COC!M114="","",COC!M114)</f>
        <v/>
      </c>
      <c r="X10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2" spans="2:25" x14ac:dyDescent="0.2">
      <c r="B102">
        <f>COC!A115</f>
        <v>101</v>
      </c>
      <c r="C102" t="str">
        <f>COC!O115</f>
        <v/>
      </c>
      <c r="D102" s="46" t="str">
        <f>IF(COC!C115="","",COC!C115)</f>
        <v/>
      </c>
      <c r="E102" s="37" t="str">
        <f>IF(COC!D115="","",COC!D115)</f>
        <v/>
      </c>
      <c r="G102" t="str">
        <f>IF(COC!I115="","",INDEX(COCDV[Facility],MATCH(COC!$I$6,COCDV[SAP Name],0)))</f>
        <v/>
      </c>
      <c r="H102" t="str">
        <f>IF(COC!I115="","",INDEX(COCDV[Address],MATCH(COC!$I$6,COCDV[SAP Name],0)))</f>
        <v/>
      </c>
      <c r="I102" t="str">
        <f>IF(COC!I115="","",COC!I115)</f>
        <v/>
      </c>
      <c r="J102" t="str">
        <f>IF(COCRollupTbl[[#This Row],[COC Loc.]]="","",SplitString(COCRollupTbl[[#This Row],[COC Loc.]],2,", ")&amp;", "&amp;SplitString(COCRollupTbl[[#This Row],[COC Loc.]],3,", "))</f>
        <v/>
      </c>
      <c r="K102" t="str">
        <f>IF(COCRollupTbl[[#This Row],[COC Loc.]]="","",COCRollupTbl[[#This Row],[Source]]&amp;", "&amp;COCRollupTbl[[#This Row],[Type]]&amp;", "&amp;COCRollupTbl[[#This Row],[COC Loc.]])</f>
        <v/>
      </c>
      <c r="L102" t="str">
        <f>IF(COC!E115="","",COC!E115)</f>
        <v/>
      </c>
      <c r="M102" t="str">
        <f>IF(COC!H115="","",COC!H115)</f>
        <v/>
      </c>
      <c r="N102" t="str">
        <f>IF(COCRollupTbl[[#This Row],[COC Loc.]]="","",SplitString(COCRollupTbl[[#This Row],[COC Loc.]],1,", "))</f>
        <v/>
      </c>
      <c r="O102" t="str">
        <f>IF(COCRollupTbl[[#This Row],[COC Loc.]]="","",SplitString(COCRollupTbl[[#This Row],[COC Loc.]],2,", "))</f>
        <v/>
      </c>
      <c r="T102" t="str">
        <f>IF(COC!K115="","",COC!K115)</f>
        <v/>
      </c>
      <c r="U102" t="str">
        <f>IF(COC!L115="","",COC!L115)</f>
        <v/>
      </c>
      <c r="V102" t="str">
        <f>IF(COC!M115="","",COC!M115)</f>
        <v/>
      </c>
      <c r="X10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3" spans="2:25" x14ac:dyDescent="0.2">
      <c r="B103">
        <f>COC!A116</f>
        <v>102</v>
      </c>
      <c r="C103" t="str">
        <f>COC!O116</f>
        <v/>
      </c>
      <c r="D103" s="46" t="str">
        <f>IF(COC!C116="","",COC!C116)</f>
        <v/>
      </c>
      <c r="E103" s="37" t="str">
        <f>IF(COC!D116="","",COC!D116)</f>
        <v/>
      </c>
      <c r="G103" t="str">
        <f>IF(COC!I116="","",INDEX(COCDV[Facility],MATCH(COC!$I$6,COCDV[SAP Name],0)))</f>
        <v/>
      </c>
      <c r="H103" t="str">
        <f>IF(COC!I116="","",INDEX(COCDV[Address],MATCH(COC!$I$6,COCDV[SAP Name],0)))</f>
        <v/>
      </c>
      <c r="I103" t="str">
        <f>IF(COC!I116="","",COC!I116)</f>
        <v/>
      </c>
      <c r="J103" t="str">
        <f>IF(COCRollupTbl[[#This Row],[COC Loc.]]="","",SplitString(COCRollupTbl[[#This Row],[COC Loc.]],2,", ")&amp;", "&amp;SplitString(COCRollupTbl[[#This Row],[COC Loc.]],3,", "))</f>
        <v/>
      </c>
      <c r="K103" t="str">
        <f>IF(COCRollupTbl[[#This Row],[COC Loc.]]="","",COCRollupTbl[[#This Row],[Source]]&amp;", "&amp;COCRollupTbl[[#This Row],[Type]]&amp;", "&amp;COCRollupTbl[[#This Row],[COC Loc.]])</f>
        <v/>
      </c>
      <c r="L103" t="str">
        <f>IF(COC!E116="","",COC!E116)</f>
        <v/>
      </c>
      <c r="M103" t="str">
        <f>IF(COC!H116="","",COC!H116)</f>
        <v/>
      </c>
      <c r="N103" t="str">
        <f>IF(COCRollupTbl[[#This Row],[COC Loc.]]="","",SplitString(COCRollupTbl[[#This Row],[COC Loc.]],1,", "))</f>
        <v/>
      </c>
      <c r="O103" t="str">
        <f>IF(COCRollupTbl[[#This Row],[COC Loc.]]="","",SplitString(COCRollupTbl[[#This Row],[COC Loc.]],2,", "))</f>
        <v/>
      </c>
      <c r="T103" t="str">
        <f>IF(COC!K116="","",COC!K116)</f>
        <v/>
      </c>
      <c r="U103" t="str">
        <f>IF(COC!L116="","",COC!L116)</f>
        <v/>
      </c>
      <c r="V103" t="str">
        <f>IF(COC!M116="","",COC!M116)</f>
        <v/>
      </c>
      <c r="X10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4" spans="2:25" x14ac:dyDescent="0.2">
      <c r="B104">
        <f>COC!A117</f>
        <v>103</v>
      </c>
      <c r="C104" t="str">
        <f>COC!O117</f>
        <v/>
      </c>
      <c r="D104" s="46" t="str">
        <f>IF(COC!C117="","",COC!C117)</f>
        <v/>
      </c>
      <c r="E104" s="37" t="str">
        <f>IF(COC!D117="","",COC!D117)</f>
        <v/>
      </c>
      <c r="G104" t="str">
        <f>IF(COC!I117="","",INDEX(COCDV[Facility],MATCH(COC!$I$6,COCDV[SAP Name],0)))</f>
        <v/>
      </c>
      <c r="H104" t="str">
        <f>IF(COC!I117="","",INDEX(COCDV[Address],MATCH(COC!$I$6,COCDV[SAP Name],0)))</f>
        <v/>
      </c>
      <c r="I104" t="str">
        <f>IF(COC!I117="","",COC!I117)</f>
        <v/>
      </c>
      <c r="J104" t="str">
        <f>IF(COCRollupTbl[[#This Row],[COC Loc.]]="","",SplitString(COCRollupTbl[[#This Row],[COC Loc.]],2,", ")&amp;", "&amp;SplitString(COCRollupTbl[[#This Row],[COC Loc.]],3,", "))</f>
        <v/>
      </c>
      <c r="K104" t="str">
        <f>IF(COCRollupTbl[[#This Row],[COC Loc.]]="","",COCRollupTbl[[#This Row],[Source]]&amp;", "&amp;COCRollupTbl[[#This Row],[Type]]&amp;", "&amp;COCRollupTbl[[#This Row],[COC Loc.]])</f>
        <v/>
      </c>
      <c r="L104" t="str">
        <f>IF(COC!E117="","",COC!E117)</f>
        <v/>
      </c>
      <c r="M104" t="str">
        <f>IF(COC!H117="","",COC!H117)</f>
        <v/>
      </c>
      <c r="N104" t="str">
        <f>IF(COCRollupTbl[[#This Row],[COC Loc.]]="","",SplitString(COCRollupTbl[[#This Row],[COC Loc.]],1,", "))</f>
        <v/>
      </c>
      <c r="O104" t="str">
        <f>IF(COCRollupTbl[[#This Row],[COC Loc.]]="","",SplitString(COCRollupTbl[[#This Row],[COC Loc.]],2,", "))</f>
        <v/>
      </c>
      <c r="T104" t="str">
        <f>IF(COC!K117="","",COC!K117)</f>
        <v/>
      </c>
      <c r="U104" t="str">
        <f>IF(COC!L117="","",COC!L117)</f>
        <v/>
      </c>
      <c r="V104" t="str">
        <f>IF(COC!M117="","",COC!M117)</f>
        <v/>
      </c>
      <c r="X10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5" spans="2:25" x14ac:dyDescent="0.2">
      <c r="B105">
        <f>COC!A118</f>
        <v>104</v>
      </c>
      <c r="C105" t="str">
        <f>COC!O118</f>
        <v/>
      </c>
      <c r="D105" s="46" t="str">
        <f>IF(COC!C118="","",COC!C118)</f>
        <v/>
      </c>
      <c r="E105" s="37" t="str">
        <f>IF(COC!D118="","",COC!D118)</f>
        <v/>
      </c>
      <c r="G105" t="str">
        <f>IF(COC!I118="","",INDEX(COCDV[Facility],MATCH(COC!$I$6,COCDV[SAP Name],0)))</f>
        <v/>
      </c>
      <c r="H105" t="str">
        <f>IF(COC!I118="","",INDEX(COCDV[Address],MATCH(COC!$I$6,COCDV[SAP Name],0)))</f>
        <v/>
      </c>
      <c r="I105" t="str">
        <f>IF(COC!I118="","",COC!I118)</f>
        <v/>
      </c>
      <c r="J105" t="str">
        <f>IF(COCRollupTbl[[#This Row],[COC Loc.]]="","",SplitString(COCRollupTbl[[#This Row],[COC Loc.]],2,", ")&amp;", "&amp;SplitString(COCRollupTbl[[#This Row],[COC Loc.]],3,", "))</f>
        <v/>
      </c>
      <c r="K105" t="str">
        <f>IF(COCRollupTbl[[#This Row],[COC Loc.]]="","",COCRollupTbl[[#This Row],[Source]]&amp;", "&amp;COCRollupTbl[[#This Row],[Type]]&amp;", "&amp;COCRollupTbl[[#This Row],[COC Loc.]])</f>
        <v/>
      </c>
      <c r="L105" t="str">
        <f>IF(COC!E118="","",COC!E118)</f>
        <v/>
      </c>
      <c r="M105" t="str">
        <f>IF(COC!H118="","",COC!H118)</f>
        <v/>
      </c>
      <c r="N105" t="str">
        <f>IF(COCRollupTbl[[#This Row],[COC Loc.]]="","",SplitString(COCRollupTbl[[#This Row],[COC Loc.]],1,", "))</f>
        <v/>
      </c>
      <c r="O105" t="str">
        <f>IF(COCRollupTbl[[#This Row],[COC Loc.]]="","",SplitString(COCRollupTbl[[#This Row],[COC Loc.]],2,", "))</f>
        <v/>
      </c>
      <c r="T105" t="str">
        <f>IF(COC!K118="","",COC!K118)</f>
        <v/>
      </c>
      <c r="U105" t="str">
        <f>IF(COC!L118="","",COC!L118)</f>
        <v/>
      </c>
      <c r="V105" t="str">
        <f>IF(COC!M118="","",COC!M118)</f>
        <v/>
      </c>
      <c r="X10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6" spans="2:25" x14ac:dyDescent="0.2">
      <c r="B106">
        <f>COC!A119</f>
        <v>105</v>
      </c>
      <c r="C106" t="str">
        <f>COC!O119</f>
        <v/>
      </c>
      <c r="D106" s="46" t="str">
        <f>IF(COC!C119="","",COC!C119)</f>
        <v/>
      </c>
      <c r="E106" s="37" t="str">
        <f>IF(COC!D119="","",COC!D119)</f>
        <v/>
      </c>
      <c r="G106" t="str">
        <f>IF(COC!I119="","",INDEX(COCDV[Facility],MATCH(COC!$I$6,COCDV[SAP Name],0)))</f>
        <v/>
      </c>
      <c r="H106" t="str">
        <f>IF(COC!I119="","",INDEX(COCDV[Address],MATCH(COC!$I$6,COCDV[SAP Name],0)))</f>
        <v/>
      </c>
      <c r="I106" t="str">
        <f>IF(COC!I119="","",COC!I119)</f>
        <v/>
      </c>
      <c r="J106" t="str">
        <f>IF(COCRollupTbl[[#This Row],[COC Loc.]]="","",SplitString(COCRollupTbl[[#This Row],[COC Loc.]],2,", ")&amp;", "&amp;SplitString(COCRollupTbl[[#This Row],[COC Loc.]],3,", "))</f>
        <v/>
      </c>
      <c r="K106" t="str">
        <f>IF(COCRollupTbl[[#This Row],[COC Loc.]]="","",COCRollupTbl[[#This Row],[Source]]&amp;", "&amp;COCRollupTbl[[#This Row],[Type]]&amp;", "&amp;COCRollupTbl[[#This Row],[COC Loc.]])</f>
        <v/>
      </c>
      <c r="L106" t="str">
        <f>IF(COC!E119="","",COC!E119)</f>
        <v/>
      </c>
      <c r="M106" t="str">
        <f>IF(COC!H119="","",COC!H119)</f>
        <v/>
      </c>
      <c r="N106" t="str">
        <f>IF(COCRollupTbl[[#This Row],[COC Loc.]]="","",SplitString(COCRollupTbl[[#This Row],[COC Loc.]],1,", "))</f>
        <v/>
      </c>
      <c r="O106" t="str">
        <f>IF(COCRollupTbl[[#This Row],[COC Loc.]]="","",SplitString(COCRollupTbl[[#This Row],[COC Loc.]],2,", "))</f>
        <v/>
      </c>
      <c r="T106" t="str">
        <f>IF(COC!K119="","",COC!K119)</f>
        <v/>
      </c>
      <c r="U106" t="str">
        <f>IF(COC!L119="","",COC!L119)</f>
        <v/>
      </c>
      <c r="V106" t="str">
        <f>IF(COC!M119="","",COC!M119)</f>
        <v/>
      </c>
      <c r="X10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7" spans="2:25" x14ac:dyDescent="0.2">
      <c r="B107">
        <f>COC!A120</f>
        <v>106</v>
      </c>
      <c r="C107" t="str">
        <f>COC!O120</f>
        <v/>
      </c>
      <c r="D107" s="46" t="str">
        <f>IF(COC!C120="","",COC!C120)</f>
        <v/>
      </c>
      <c r="E107" s="37" t="str">
        <f>IF(COC!D120="","",COC!D120)</f>
        <v/>
      </c>
      <c r="G107" t="str">
        <f>IF(COC!I120="","",INDEX(COCDV[Facility],MATCH(COC!$I$6,COCDV[SAP Name],0)))</f>
        <v/>
      </c>
      <c r="H107" t="str">
        <f>IF(COC!I120="","",INDEX(COCDV[Address],MATCH(COC!$I$6,COCDV[SAP Name],0)))</f>
        <v/>
      </c>
      <c r="I107" t="str">
        <f>IF(COC!I120="","",COC!I120)</f>
        <v/>
      </c>
      <c r="J107" t="str">
        <f>IF(COCRollupTbl[[#This Row],[COC Loc.]]="","",SplitString(COCRollupTbl[[#This Row],[COC Loc.]],2,", ")&amp;", "&amp;SplitString(COCRollupTbl[[#This Row],[COC Loc.]],3,", "))</f>
        <v/>
      </c>
      <c r="K107" t="str">
        <f>IF(COCRollupTbl[[#This Row],[COC Loc.]]="","",COCRollupTbl[[#This Row],[Source]]&amp;", "&amp;COCRollupTbl[[#This Row],[Type]]&amp;", "&amp;COCRollupTbl[[#This Row],[COC Loc.]])</f>
        <v/>
      </c>
      <c r="L107" t="str">
        <f>IF(COC!E120="","",COC!E120)</f>
        <v/>
      </c>
      <c r="M107" t="str">
        <f>IF(COC!H120="","",COC!H120)</f>
        <v/>
      </c>
      <c r="N107" t="str">
        <f>IF(COCRollupTbl[[#This Row],[COC Loc.]]="","",SplitString(COCRollupTbl[[#This Row],[COC Loc.]],1,", "))</f>
        <v/>
      </c>
      <c r="O107" t="str">
        <f>IF(COCRollupTbl[[#This Row],[COC Loc.]]="","",SplitString(COCRollupTbl[[#This Row],[COC Loc.]],2,", "))</f>
        <v/>
      </c>
      <c r="T107" t="str">
        <f>IF(COC!K120="","",COC!K120)</f>
        <v/>
      </c>
      <c r="U107" t="str">
        <f>IF(COC!L120="","",COC!L120)</f>
        <v/>
      </c>
      <c r="V107" t="str">
        <f>IF(COC!M120="","",COC!M120)</f>
        <v/>
      </c>
      <c r="X10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8" spans="2:25" x14ac:dyDescent="0.2">
      <c r="B108">
        <f>COC!A121</f>
        <v>107</v>
      </c>
      <c r="C108" t="str">
        <f>COC!O121</f>
        <v/>
      </c>
      <c r="D108" s="46" t="str">
        <f>IF(COC!C121="","",COC!C121)</f>
        <v/>
      </c>
      <c r="E108" s="37" t="str">
        <f>IF(COC!D121="","",COC!D121)</f>
        <v/>
      </c>
      <c r="G108" t="str">
        <f>IF(COC!I121="","",INDEX(COCDV[Facility],MATCH(COC!$I$6,COCDV[SAP Name],0)))</f>
        <v/>
      </c>
      <c r="H108" t="str">
        <f>IF(COC!I121="","",INDEX(COCDV[Address],MATCH(COC!$I$6,COCDV[SAP Name],0)))</f>
        <v/>
      </c>
      <c r="I108" t="str">
        <f>IF(COC!I121="","",COC!I121)</f>
        <v/>
      </c>
      <c r="J108" t="str">
        <f>IF(COCRollupTbl[[#This Row],[COC Loc.]]="","",SplitString(COCRollupTbl[[#This Row],[COC Loc.]],2,", ")&amp;", "&amp;SplitString(COCRollupTbl[[#This Row],[COC Loc.]],3,", "))</f>
        <v/>
      </c>
      <c r="K108" t="str">
        <f>IF(COCRollupTbl[[#This Row],[COC Loc.]]="","",COCRollupTbl[[#This Row],[Source]]&amp;", "&amp;COCRollupTbl[[#This Row],[Type]]&amp;", "&amp;COCRollupTbl[[#This Row],[COC Loc.]])</f>
        <v/>
      </c>
      <c r="L108" t="str">
        <f>IF(COC!E121="","",COC!E121)</f>
        <v/>
      </c>
      <c r="M108" t="str">
        <f>IF(COC!H121="","",COC!H121)</f>
        <v/>
      </c>
      <c r="N108" t="str">
        <f>IF(COCRollupTbl[[#This Row],[COC Loc.]]="","",SplitString(COCRollupTbl[[#This Row],[COC Loc.]],1,", "))</f>
        <v/>
      </c>
      <c r="O108" t="str">
        <f>IF(COCRollupTbl[[#This Row],[COC Loc.]]="","",SplitString(COCRollupTbl[[#This Row],[COC Loc.]],2,", "))</f>
        <v/>
      </c>
      <c r="T108" t="str">
        <f>IF(COC!K121="","",COC!K121)</f>
        <v/>
      </c>
      <c r="U108" t="str">
        <f>IF(COC!L121="","",COC!L121)</f>
        <v/>
      </c>
      <c r="V108" t="str">
        <f>IF(COC!M121="","",COC!M121)</f>
        <v/>
      </c>
      <c r="X10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9" spans="2:25" x14ac:dyDescent="0.2">
      <c r="B109">
        <f>COC!A122</f>
        <v>108</v>
      </c>
      <c r="C109" t="str">
        <f>COC!O122</f>
        <v/>
      </c>
      <c r="D109" s="46" t="str">
        <f>IF(COC!C122="","",COC!C122)</f>
        <v/>
      </c>
      <c r="E109" s="37" t="str">
        <f>IF(COC!D122="","",COC!D122)</f>
        <v/>
      </c>
      <c r="G109" t="str">
        <f>IF(COC!I122="","",INDEX(COCDV[Facility],MATCH(COC!$I$6,COCDV[SAP Name],0)))</f>
        <v/>
      </c>
      <c r="H109" t="str">
        <f>IF(COC!I122="","",INDEX(COCDV[Address],MATCH(COC!$I$6,COCDV[SAP Name],0)))</f>
        <v/>
      </c>
      <c r="I109" t="str">
        <f>IF(COC!I122="","",COC!I122)</f>
        <v/>
      </c>
      <c r="J109" t="str">
        <f>IF(COCRollupTbl[[#This Row],[COC Loc.]]="","",SplitString(COCRollupTbl[[#This Row],[COC Loc.]],2,", ")&amp;", "&amp;SplitString(COCRollupTbl[[#This Row],[COC Loc.]],3,", "))</f>
        <v/>
      </c>
      <c r="K109" t="str">
        <f>IF(COCRollupTbl[[#This Row],[COC Loc.]]="","",COCRollupTbl[[#This Row],[Source]]&amp;", "&amp;COCRollupTbl[[#This Row],[Type]]&amp;", "&amp;COCRollupTbl[[#This Row],[COC Loc.]])</f>
        <v/>
      </c>
      <c r="L109" t="str">
        <f>IF(COC!E122="","",COC!E122)</f>
        <v/>
      </c>
      <c r="M109" t="str">
        <f>IF(COC!H122="","",COC!H122)</f>
        <v/>
      </c>
      <c r="N109" t="str">
        <f>IF(COCRollupTbl[[#This Row],[COC Loc.]]="","",SplitString(COCRollupTbl[[#This Row],[COC Loc.]],1,", "))</f>
        <v/>
      </c>
      <c r="O109" t="str">
        <f>IF(COCRollupTbl[[#This Row],[COC Loc.]]="","",SplitString(COCRollupTbl[[#This Row],[COC Loc.]],2,", "))</f>
        <v/>
      </c>
      <c r="T109" t="str">
        <f>IF(COC!K122="","",COC!K122)</f>
        <v/>
      </c>
      <c r="U109" t="str">
        <f>IF(COC!L122="","",COC!L122)</f>
        <v/>
      </c>
      <c r="V109" t="str">
        <f>IF(COC!M122="","",COC!M122)</f>
        <v/>
      </c>
      <c r="X10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0" spans="2:25" x14ac:dyDescent="0.2">
      <c r="B110">
        <f>COC!A123</f>
        <v>109</v>
      </c>
      <c r="C110" t="str">
        <f>COC!O123</f>
        <v/>
      </c>
      <c r="D110" s="46" t="str">
        <f>IF(COC!C123="","",COC!C123)</f>
        <v/>
      </c>
      <c r="E110" s="37" t="str">
        <f>IF(COC!D123="","",COC!D123)</f>
        <v/>
      </c>
      <c r="G110" t="str">
        <f>IF(COC!I123="","",INDEX(COCDV[Facility],MATCH(COC!$I$6,COCDV[SAP Name],0)))</f>
        <v/>
      </c>
      <c r="H110" t="str">
        <f>IF(COC!I123="","",INDEX(COCDV[Address],MATCH(COC!$I$6,COCDV[SAP Name],0)))</f>
        <v/>
      </c>
      <c r="I110" t="str">
        <f>IF(COC!I123="","",COC!I123)</f>
        <v/>
      </c>
      <c r="J110" t="str">
        <f>IF(COCRollupTbl[[#This Row],[COC Loc.]]="","",SplitString(COCRollupTbl[[#This Row],[COC Loc.]],2,", ")&amp;", "&amp;SplitString(COCRollupTbl[[#This Row],[COC Loc.]],3,", "))</f>
        <v/>
      </c>
      <c r="K110" t="str">
        <f>IF(COCRollupTbl[[#This Row],[COC Loc.]]="","",COCRollupTbl[[#This Row],[Source]]&amp;", "&amp;COCRollupTbl[[#This Row],[Type]]&amp;", "&amp;COCRollupTbl[[#This Row],[COC Loc.]])</f>
        <v/>
      </c>
      <c r="L110" t="str">
        <f>IF(COC!E123="","",COC!E123)</f>
        <v/>
      </c>
      <c r="M110" t="str">
        <f>IF(COC!H123="","",COC!H123)</f>
        <v/>
      </c>
      <c r="N110" t="str">
        <f>IF(COCRollupTbl[[#This Row],[COC Loc.]]="","",SplitString(COCRollupTbl[[#This Row],[COC Loc.]],1,", "))</f>
        <v/>
      </c>
      <c r="O110" t="str">
        <f>IF(COCRollupTbl[[#This Row],[COC Loc.]]="","",SplitString(COCRollupTbl[[#This Row],[COC Loc.]],2,", "))</f>
        <v/>
      </c>
      <c r="T110" t="str">
        <f>IF(COC!K123="","",COC!K123)</f>
        <v/>
      </c>
      <c r="U110" t="str">
        <f>IF(COC!L123="","",COC!L123)</f>
        <v/>
      </c>
      <c r="V110" t="str">
        <f>IF(COC!M123="","",COC!M123)</f>
        <v/>
      </c>
      <c r="X11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1" spans="2:25" x14ac:dyDescent="0.2">
      <c r="B111">
        <f>COC!A124</f>
        <v>110</v>
      </c>
      <c r="C111" t="str">
        <f>COC!O124</f>
        <v/>
      </c>
      <c r="D111" s="46" t="str">
        <f>IF(COC!C124="","",COC!C124)</f>
        <v/>
      </c>
      <c r="E111" s="37" t="str">
        <f>IF(COC!D124="","",COC!D124)</f>
        <v/>
      </c>
      <c r="G111" t="str">
        <f>IF(COC!I124="","",INDEX(COCDV[Facility],MATCH(COC!$I$6,COCDV[SAP Name],0)))</f>
        <v/>
      </c>
      <c r="H111" t="str">
        <f>IF(COC!I124="","",INDEX(COCDV[Address],MATCH(COC!$I$6,COCDV[SAP Name],0)))</f>
        <v/>
      </c>
      <c r="I111" t="str">
        <f>IF(COC!I124="","",COC!I124)</f>
        <v/>
      </c>
      <c r="J111" t="str">
        <f>IF(COCRollupTbl[[#This Row],[COC Loc.]]="","",SplitString(COCRollupTbl[[#This Row],[COC Loc.]],2,", ")&amp;", "&amp;SplitString(COCRollupTbl[[#This Row],[COC Loc.]],3,", "))</f>
        <v/>
      </c>
      <c r="K111" t="str">
        <f>IF(COCRollupTbl[[#This Row],[COC Loc.]]="","",COCRollupTbl[[#This Row],[Source]]&amp;", "&amp;COCRollupTbl[[#This Row],[Type]]&amp;", "&amp;COCRollupTbl[[#This Row],[COC Loc.]])</f>
        <v/>
      </c>
      <c r="L111" t="str">
        <f>IF(COC!E124="","",COC!E124)</f>
        <v/>
      </c>
      <c r="M111" t="str">
        <f>IF(COC!H124="","",COC!H124)</f>
        <v/>
      </c>
      <c r="N111" t="str">
        <f>IF(COCRollupTbl[[#This Row],[COC Loc.]]="","",SplitString(COCRollupTbl[[#This Row],[COC Loc.]],1,", "))</f>
        <v/>
      </c>
      <c r="O111" t="str">
        <f>IF(COCRollupTbl[[#This Row],[COC Loc.]]="","",SplitString(COCRollupTbl[[#This Row],[COC Loc.]],2,", "))</f>
        <v/>
      </c>
      <c r="T111" t="str">
        <f>IF(COC!K124="","",COC!K124)</f>
        <v/>
      </c>
      <c r="U111" t="str">
        <f>IF(COC!L124="","",COC!L124)</f>
        <v/>
      </c>
      <c r="V111" t="str">
        <f>IF(COC!M124="","",COC!M124)</f>
        <v/>
      </c>
      <c r="X11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2" spans="2:25" x14ac:dyDescent="0.2">
      <c r="B112">
        <f>COC!A125</f>
        <v>111</v>
      </c>
      <c r="C112" t="str">
        <f>COC!O125</f>
        <v/>
      </c>
      <c r="D112" s="46" t="str">
        <f>IF(COC!C125="","",COC!C125)</f>
        <v/>
      </c>
      <c r="E112" s="37" t="str">
        <f>IF(COC!D125="","",COC!D125)</f>
        <v/>
      </c>
      <c r="G112" t="str">
        <f>IF(COC!I125="","",INDEX(COCDV[Facility],MATCH(COC!$I$6,COCDV[SAP Name],0)))</f>
        <v/>
      </c>
      <c r="H112" t="str">
        <f>IF(COC!I125="","",INDEX(COCDV[Address],MATCH(COC!$I$6,COCDV[SAP Name],0)))</f>
        <v/>
      </c>
      <c r="I112" t="str">
        <f>IF(COC!I125="","",COC!I125)</f>
        <v/>
      </c>
      <c r="J112" t="str">
        <f>IF(COCRollupTbl[[#This Row],[COC Loc.]]="","",SplitString(COCRollupTbl[[#This Row],[COC Loc.]],2,", ")&amp;", "&amp;SplitString(COCRollupTbl[[#This Row],[COC Loc.]],3,", "))</f>
        <v/>
      </c>
      <c r="K112" t="str">
        <f>IF(COCRollupTbl[[#This Row],[COC Loc.]]="","",COCRollupTbl[[#This Row],[Source]]&amp;", "&amp;COCRollupTbl[[#This Row],[Type]]&amp;", "&amp;COCRollupTbl[[#This Row],[COC Loc.]])</f>
        <v/>
      </c>
      <c r="L112" t="str">
        <f>IF(COC!E125="","",COC!E125)</f>
        <v/>
      </c>
      <c r="M112" t="str">
        <f>IF(COC!H125="","",COC!H125)</f>
        <v/>
      </c>
      <c r="N112" t="str">
        <f>IF(COCRollupTbl[[#This Row],[COC Loc.]]="","",SplitString(COCRollupTbl[[#This Row],[COC Loc.]],1,", "))</f>
        <v/>
      </c>
      <c r="O112" t="str">
        <f>IF(COCRollupTbl[[#This Row],[COC Loc.]]="","",SplitString(COCRollupTbl[[#This Row],[COC Loc.]],2,", "))</f>
        <v/>
      </c>
      <c r="T112" t="str">
        <f>IF(COC!K125="","",COC!K125)</f>
        <v/>
      </c>
      <c r="U112" t="str">
        <f>IF(COC!L125="","",COC!L125)</f>
        <v/>
      </c>
      <c r="V112" t="str">
        <f>IF(COC!M125="","",COC!M125)</f>
        <v/>
      </c>
      <c r="X11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3" spans="2:25" x14ac:dyDescent="0.2">
      <c r="B113">
        <f>COC!A126</f>
        <v>112</v>
      </c>
      <c r="C113" t="str">
        <f>COC!O126</f>
        <v/>
      </c>
      <c r="D113" s="46" t="str">
        <f>IF(COC!C126="","",COC!C126)</f>
        <v/>
      </c>
      <c r="E113" s="37" t="str">
        <f>IF(COC!D126="","",COC!D126)</f>
        <v/>
      </c>
      <c r="G113" t="str">
        <f>IF(COC!I126="","",INDEX(COCDV[Facility],MATCH(COC!$I$6,COCDV[SAP Name],0)))</f>
        <v/>
      </c>
      <c r="H113" t="str">
        <f>IF(COC!I126="","",INDEX(COCDV[Address],MATCH(COC!$I$6,COCDV[SAP Name],0)))</f>
        <v/>
      </c>
      <c r="I113" t="str">
        <f>IF(COC!I126="","",COC!I126)</f>
        <v/>
      </c>
      <c r="J113" t="str">
        <f>IF(COCRollupTbl[[#This Row],[COC Loc.]]="","",SplitString(COCRollupTbl[[#This Row],[COC Loc.]],2,", ")&amp;", "&amp;SplitString(COCRollupTbl[[#This Row],[COC Loc.]],3,", "))</f>
        <v/>
      </c>
      <c r="K113" t="str">
        <f>IF(COCRollupTbl[[#This Row],[COC Loc.]]="","",COCRollupTbl[[#This Row],[Source]]&amp;", "&amp;COCRollupTbl[[#This Row],[Type]]&amp;", "&amp;COCRollupTbl[[#This Row],[COC Loc.]])</f>
        <v/>
      </c>
      <c r="L113" t="str">
        <f>IF(COC!E126="","",COC!E126)</f>
        <v/>
      </c>
      <c r="M113" t="str">
        <f>IF(COC!H126="","",COC!H126)</f>
        <v/>
      </c>
      <c r="N113" t="str">
        <f>IF(COCRollupTbl[[#This Row],[COC Loc.]]="","",SplitString(COCRollupTbl[[#This Row],[COC Loc.]],1,", "))</f>
        <v/>
      </c>
      <c r="O113" t="str">
        <f>IF(COCRollupTbl[[#This Row],[COC Loc.]]="","",SplitString(COCRollupTbl[[#This Row],[COC Loc.]],2,", "))</f>
        <v/>
      </c>
      <c r="T113" t="str">
        <f>IF(COC!K126="","",COC!K126)</f>
        <v/>
      </c>
      <c r="U113" t="str">
        <f>IF(COC!L126="","",COC!L126)</f>
        <v/>
      </c>
      <c r="V113" t="str">
        <f>IF(COC!M126="","",COC!M126)</f>
        <v/>
      </c>
      <c r="X11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4" spans="2:25" x14ac:dyDescent="0.2">
      <c r="B114">
        <f>COC!A127</f>
        <v>113</v>
      </c>
      <c r="C114" t="str">
        <f>COC!O127</f>
        <v/>
      </c>
      <c r="D114" s="46" t="str">
        <f>IF(COC!C127="","",COC!C127)</f>
        <v/>
      </c>
      <c r="E114" s="37" t="str">
        <f>IF(COC!D127="","",COC!D127)</f>
        <v/>
      </c>
      <c r="G114" t="str">
        <f>IF(COC!I127="","",INDEX(COCDV[Facility],MATCH(COC!$I$6,COCDV[SAP Name],0)))</f>
        <v/>
      </c>
      <c r="H114" t="str">
        <f>IF(COC!I127="","",INDEX(COCDV[Address],MATCH(COC!$I$6,COCDV[SAP Name],0)))</f>
        <v/>
      </c>
      <c r="I114" t="str">
        <f>IF(COC!I127="","",COC!I127)</f>
        <v/>
      </c>
      <c r="J114" t="str">
        <f>IF(COCRollupTbl[[#This Row],[COC Loc.]]="","",SplitString(COCRollupTbl[[#This Row],[COC Loc.]],2,", ")&amp;", "&amp;SplitString(COCRollupTbl[[#This Row],[COC Loc.]],3,", "))</f>
        <v/>
      </c>
      <c r="K114" t="str">
        <f>IF(COCRollupTbl[[#This Row],[COC Loc.]]="","",COCRollupTbl[[#This Row],[Source]]&amp;", "&amp;COCRollupTbl[[#This Row],[Type]]&amp;", "&amp;COCRollupTbl[[#This Row],[COC Loc.]])</f>
        <v/>
      </c>
      <c r="L114" t="str">
        <f>IF(COC!E127="","",COC!E127)</f>
        <v/>
      </c>
      <c r="M114" t="str">
        <f>IF(COC!H127="","",COC!H127)</f>
        <v/>
      </c>
      <c r="N114" t="str">
        <f>IF(COCRollupTbl[[#This Row],[COC Loc.]]="","",SplitString(COCRollupTbl[[#This Row],[COC Loc.]],1,", "))</f>
        <v/>
      </c>
      <c r="O114" t="str">
        <f>IF(COCRollupTbl[[#This Row],[COC Loc.]]="","",SplitString(COCRollupTbl[[#This Row],[COC Loc.]],2,", "))</f>
        <v/>
      </c>
      <c r="T114" t="str">
        <f>IF(COC!K127="","",COC!K127)</f>
        <v/>
      </c>
      <c r="U114" t="str">
        <f>IF(COC!L127="","",COC!L127)</f>
        <v/>
      </c>
      <c r="V114" t="str">
        <f>IF(COC!M127="","",COC!M127)</f>
        <v/>
      </c>
      <c r="X11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5" spans="2:25" x14ac:dyDescent="0.2">
      <c r="B115">
        <f>COC!A128</f>
        <v>114</v>
      </c>
      <c r="C115" t="str">
        <f>COC!O128</f>
        <v/>
      </c>
      <c r="D115" s="46" t="str">
        <f>IF(COC!C128="","",COC!C128)</f>
        <v/>
      </c>
      <c r="E115" s="37" t="str">
        <f>IF(COC!D128="","",COC!D128)</f>
        <v/>
      </c>
      <c r="G115" t="str">
        <f>IF(COC!I128="","",INDEX(COCDV[Facility],MATCH(COC!$I$6,COCDV[SAP Name],0)))</f>
        <v/>
      </c>
      <c r="H115" t="str">
        <f>IF(COC!I128="","",INDEX(COCDV[Address],MATCH(COC!$I$6,COCDV[SAP Name],0)))</f>
        <v/>
      </c>
      <c r="I115" t="str">
        <f>IF(COC!I128="","",COC!I128)</f>
        <v/>
      </c>
      <c r="J115" t="str">
        <f>IF(COCRollupTbl[[#This Row],[COC Loc.]]="","",SplitString(COCRollupTbl[[#This Row],[COC Loc.]],2,", ")&amp;", "&amp;SplitString(COCRollupTbl[[#This Row],[COC Loc.]],3,", "))</f>
        <v/>
      </c>
      <c r="K115" t="str">
        <f>IF(COCRollupTbl[[#This Row],[COC Loc.]]="","",COCRollupTbl[[#This Row],[Source]]&amp;", "&amp;COCRollupTbl[[#This Row],[Type]]&amp;", "&amp;COCRollupTbl[[#This Row],[COC Loc.]])</f>
        <v/>
      </c>
      <c r="L115" t="str">
        <f>IF(COC!E128="","",COC!E128)</f>
        <v/>
      </c>
      <c r="M115" t="str">
        <f>IF(COC!H128="","",COC!H128)</f>
        <v/>
      </c>
      <c r="N115" t="str">
        <f>IF(COCRollupTbl[[#This Row],[COC Loc.]]="","",SplitString(COCRollupTbl[[#This Row],[COC Loc.]],1,", "))</f>
        <v/>
      </c>
      <c r="O115" t="str">
        <f>IF(COCRollupTbl[[#This Row],[COC Loc.]]="","",SplitString(COCRollupTbl[[#This Row],[COC Loc.]],2,", "))</f>
        <v/>
      </c>
      <c r="T115" t="str">
        <f>IF(COC!K128="","",COC!K128)</f>
        <v/>
      </c>
      <c r="U115" t="str">
        <f>IF(COC!L128="","",COC!L128)</f>
        <v/>
      </c>
      <c r="V115" t="str">
        <f>IF(COC!M128="","",COC!M128)</f>
        <v/>
      </c>
      <c r="X11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6" spans="2:25" x14ac:dyDescent="0.2">
      <c r="B116">
        <f>COC!A129</f>
        <v>115</v>
      </c>
      <c r="C116" t="str">
        <f>COC!O129</f>
        <v/>
      </c>
      <c r="D116" s="46" t="str">
        <f>IF(COC!C129="","",COC!C129)</f>
        <v/>
      </c>
      <c r="E116" s="37" t="str">
        <f>IF(COC!D129="","",COC!D129)</f>
        <v/>
      </c>
      <c r="G116" t="str">
        <f>IF(COC!I129="","",INDEX(COCDV[Facility],MATCH(COC!$I$6,COCDV[SAP Name],0)))</f>
        <v/>
      </c>
      <c r="H116" t="str">
        <f>IF(COC!I129="","",INDEX(COCDV[Address],MATCH(COC!$I$6,COCDV[SAP Name],0)))</f>
        <v/>
      </c>
      <c r="I116" t="str">
        <f>IF(COC!I129="","",COC!I129)</f>
        <v/>
      </c>
      <c r="J116" t="str">
        <f>IF(COCRollupTbl[[#This Row],[COC Loc.]]="","",SplitString(COCRollupTbl[[#This Row],[COC Loc.]],2,", ")&amp;", "&amp;SplitString(COCRollupTbl[[#This Row],[COC Loc.]],3,", "))</f>
        <v/>
      </c>
      <c r="K116" t="str">
        <f>IF(COCRollupTbl[[#This Row],[COC Loc.]]="","",COCRollupTbl[[#This Row],[Source]]&amp;", "&amp;COCRollupTbl[[#This Row],[Type]]&amp;", "&amp;COCRollupTbl[[#This Row],[COC Loc.]])</f>
        <v/>
      </c>
      <c r="L116" t="str">
        <f>IF(COC!E129="","",COC!E129)</f>
        <v/>
      </c>
      <c r="M116" t="str">
        <f>IF(COC!H129="","",COC!H129)</f>
        <v/>
      </c>
      <c r="N116" t="str">
        <f>IF(COCRollupTbl[[#This Row],[COC Loc.]]="","",SplitString(COCRollupTbl[[#This Row],[COC Loc.]],1,", "))</f>
        <v/>
      </c>
      <c r="O116" t="str">
        <f>IF(COCRollupTbl[[#This Row],[COC Loc.]]="","",SplitString(COCRollupTbl[[#This Row],[COC Loc.]],2,", "))</f>
        <v/>
      </c>
      <c r="T116" t="str">
        <f>IF(COC!K129="","",COC!K129)</f>
        <v/>
      </c>
      <c r="U116" t="str">
        <f>IF(COC!L129="","",COC!L129)</f>
        <v/>
      </c>
      <c r="V116" t="str">
        <f>IF(COC!M129="","",COC!M129)</f>
        <v/>
      </c>
      <c r="X11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7" spans="2:25" x14ac:dyDescent="0.2">
      <c r="B117">
        <f>COC!A130</f>
        <v>116</v>
      </c>
      <c r="C117" t="str">
        <f>COC!O130</f>
        <v/>
      </c>
      <c r="D117" s="46" t="str">
        <f>IF(COC!C130="","",COC!C130)</f>
        <v/>
      </c>
      <c r="E117" s="37" t="str">
        <f>IF(COC!D130="","",COC!D130)</f>
        <v/>
      </c>
      <c r="G117" t="str">
        <f>IF(COC!I130="","",INDEX(COCDV[Facility],MATCH(COC!$I$6,COCDV[SAP Name],0)))</f>
        <v/>
      </c>
      <c r="H117" t="str">
        <f>IF(COC!I130="","",INDEX(COCDV[Address],MATCH(COC!$I$6,COCDV[SAP Name],0)))</f>
        <v/>
      </c>
      <c r="I117" t="str">
        <f>IF(COC!I130="","",COC!I130)</f>
        <v/>
      </c>
      <c r="J117" t="str">
        <f>IF(COCRollupTbl[[#This Row],[COC Loc.]]="","",SplitString(COCRollupTbl[[#This Row],[COC Loc.]],2,", ")&amp;", "&amp;SplitString(COCRollupTbl[[#This Row],[COC Loc.]],3,", "))</f>
        <v/>
      </c>
      <c r="K117" t="str">
        <f>IF(COCRollupTbl[[#This Row],[COC Loc.]]="","",COCRollupTbl[[#This Row],[Source]]&amp;", "&amp;COCRollupTbl[[#This Row],[Type]]&amp;", "&amp;COCRollupTbl[[#This Row],[COC Loc.]])</f>
        <v/>
      </c>
      <c r="L117" t="str">
        <f>IF(COC!E130="","",COC!E130)</f>
        <v/>
      </c>
      <c r="M117" t="str">
        <f>IF(COC!H130="","",COC!H130)</f>
        <v/>
      </c>
      <c r="N117" t="str">
        <f>IF(COCRollupTbl[[#This Row],[COC Loc.]]="","",SplitString(COCRollupTbl[[#This Row],[COC Loc.]],1,", "))</f>
        <v/>
      </c>
      <c r="O117" t="str">
        <f>IF(COCRollupTbl[[#This Row],[COC Loc.]]="","",SplitString(COCRollupTbl[[#This Row],[COC Loc.]],2,", "))</f>
        <v/>
      </c>
      <c r="T117" t="str">
        <f>IF(COC!K130="","",COC!K130)</f>
        <v/>
      </c>
      <c r="U117" t="str">
        <f>IF(COC!L130="","",COC!L130)</f>
        <v/>
      </c>
      <c r="V117" t="str">
        <f>IF(COC!M130="","",COC!M130)</f>
        <v/>
      </c>
      <c r="X11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8" spans="2:25" x14ac:dyDescent="0.2">
      <c r="B118">
        <f>COC!A131</f>
        <v>117</v>
      </c>
      <c r="C118" t="str">
        <f>COC!O131</f>
        <v/>
      </c>
      <c r="D118" s="46" t="str">
        <f>IF(COC!C131="","",COC!C131)</f>
        <v/>
      </c>
      <c r="E118" s="37" t="str">
        <f>IF(COC!D131="","",COC!D131)</f>
        <v/>
      </c>
      <c r="G118" t="str">
        <f>IF(COC!I131="","",INDEX(COCDV[Facility],MATCH(COC!$I$6,COCDV[SAP Name],0)))</f>
        <v/>
      </c>
      <c r="H118" t="str">
        <f>IF(COC!I131="","",INDEX(COCDV[Address],MATCH(COC!$I$6,COCDV[SAP Name],0)))</f>
        <v/>
      </c>
      <c r="I118" t="str">
        <f>IF(COC!I131="","",COC!I131)</f>
        <v/>
      </c>
      <c r="J118" t="str">
        <f>IF(COCRollupTbl[[#This Row],[COC Loc.]]="","",SplitString(COCRollupTbl[[#This Row],[COC Loc.]],2,", ")&amp;", "&amp;SplitString(COCRollupTbl[[#This Row],[COC Loc.]],3,", "))</f>
        <v/>
      </c>
      <c r="K118" t="str">
        <f>IF(COCRollupTbl[[#This Row],[COC Loc.]]="","",COCRollupTbl[[#This Row],[Source]]&amp;", "&amp;COCRollupTbl[[#This Row],[Type]]&amp;", "&amp;COCRollupTbl[[#This Row],[COC Loc.]])</f>
        <v/>
      </c>
      <c r="L118" t="str">
        <f>IF(COC!E131="","",COC!E131)</f>
        <v/>
      </c>
      <c r="M118" t="str">
        <f>IF(COC!H131="","",COC!H131)</f>
        <v/>
      </c>
      <c r="N118" t="str">
        <f>IF(COCRollupTbl[[#This Row],[COC Loc.]]="","",SplitString(COCRollupTbl[[#This Row],[COC Loc.]],1,", "))</f>
        <v/>
      </c>
      <c r="O118" t="str">
        <f>IF(COCRollupTbl[[#This Row],[COC Loc.]]="","",SplitString(COCRollupTbl[[#This Row],[COC Loc.]],2,", "))</f>
        <v/>
      </c>
      <c r="T118" t="str">
        <f>IF(COC!K131="","",COC!K131)</f>
        <v/>
      </c>
      <c r="U118" t="str">
        <f>IF(COC!L131="","",COC!L131)</f>
        <v/>
      </c>
      <c r="V118" t="str">
        <f>IF(COC!M131="","",COC!M131)</f>
        <v/>
      </c>
      <c r="X11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9" spans="2:25" x14ac:dyDescent="0.2">
      <c r="B119">
        <f>COC!A132</f>
        <v>0</v>
      </c>
      <c r="C119">
        <f>COC!O132</f>
        <v>0</v>
      </c>
      <c r="D119" s="46" t="str">
        <f>IF(COC!C132="","",COC!C132)</f>
        <v/>
      </c>
      <c r="E119" s="37" t="str">
        <f>IF(COC!D132="","",COC!D132)</f>
        <v/>
      </c>
      <c r="G119" t="str">
        <f>IF(COC!I132="","",INDEX(COCDV[Facility],MATCH(COC!$I$6,COCDV[SAP Name],0)))</f>
        <v/>
      </c>
      <c r="H119" t="str">
        <f>IF(COC!I132="","",INDEX(COCDV[Address],MATCH(COC!$I$6,COCDV[SAP Name],0)))</f>
        <v/>
      </c>
      <c r="I119" t="str">
        <f>IF(COC!I132="","",COC!I132)</f>
        <v/>
      </c>
      <c r="J119" t="str">
        <f>IF(COCRollupTbl[[#This Row],[COC Loc.]]="","",SplitString(COCRollupTbl[[#This Row],[COC Loc.]],2,", ")&amp;", "&amp;SplitString(COCRollupTbl[[#This Row],[COC Loc.]],3,", "))</f>
        <v/>
      </c>
      <c r="K119" t="str">
        <f>IF(COCRollupTbl[[#This Row],[COC Loc.]]="","",COCRollupTbl[[#This Row],[Source]]&amp;", "&amp;COCRollupTbl[[#This Row],[Type]]&amp;", "&amp;COCRollupTbl[[#This Row],[COC Loc.]])</f>
        <v/>
      </c>
      <c r="L119" t="str">
        <f>IF(COC!E132="","",COC!E132)</f>
        <v/>
      </c>
      <c r="M119" t="str">
        <f>IF(COC!H132="","",COC!H132)</f>
        <v/>
      </c>
      <c r="N119" t="str">
        <f>IF(COCRollupTbl[[#This Row],[COC Loc.]]="","",SplitString(COCRollupTbl[[#This Row],[COC Loc.]],1,", "))</f>
        <v/>
      </c>
      <c r="O119" t="str">
        <f>IF(COCRollupTbl[[#This Row],[COC Loc.]]="","",SplitString(COCRollupTbl[[#This Row],[COC Loc.]],2,", "))</f>
        <v/>
      </c>
      <c r="T119" t="str">
        <f>IF(COC!K132="","",COC!K132)</f>
        <v/>
      </c>
      <c r="U119" t="str">
        <f>IF(COC!L132="","",COC!L132)</f>
        <v/>
      </c>
      <c r="V119" t="str">
        <f>IF(COC!M132="","",COC!M132)</f>
        <v/>
      </c>
      <c r="X11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20" spans="2:25" x14ac:dyDescent="0.2">
      <c r="B120">
        <f>COC!A133</f>
        <v>0</v>
      </c>
      <c r="C120">
        <f>COC!O133</f>
        <v>0</v>
      </c>
      <c r="D120" s="46" t="str">
        <f>IF(COC!C133="","",COC!C133)</f>
        <v/>
      </c>
      <c r="E120" s="37" t="str">
        <f>IF(COC!D133="","",COC!D133)</f>
        <v/>
      </c>
      <c r="G120" t="str">
        <f>IF(COC!I133="","",INDEX(COCDV[Facility],MATCH(COC!$I$6,COCDV[SAP Name],0)))</f>
        <v/>
      </c>
      <c r="H120" t="str">
        <f>IF(COC!I133="","",INDEX(COCDV[Address],MATCH(COC!$I$6,COCDV[SAP Name],0)))</f>
        <v/>
      </c>
      <c r="I120" t="str">
        <f>IF(COC!I133="","",COC!I133)</f>
        <v/>
      </c>
      <c r="J120" t="str">
        <f>IF(COCRollupTbl[[#This Row],[COC Loc.]]="","",SplitString(COCRollupTbl[[#This Row],[COC Loc.]],2,", ")&amp;", "&amp;SplitString(COCRollupTbl[[#This Row],[COC Loc.]],3,", "))</f>
        <v/>
      </c>
      <c r="K120" t="str">
        <f>IF(COCRollupTbl[[#This Row],[COC Loc.]]="","",COCRollupTbl[[#This Row],[Source]]&amp;", "&amp;COCRollupTbl[[#This Row],[Type]]&amp;", "&amp;COCRollupTbl[[#This Row],[COC Loc.]])</f>
        <v/>
      </c>
      <c r="L120" t="str">
        <f>IF(COC!E133="","",COC!E133)</f>
        <v/>
      </c>
      <c r="M120" t="str">
        <f>IF(COC!H133="","",COC!H133)</f>
        <v/>
      </c>
      <c r="N120" t="str">
        <f>IF(COCRollupTbl[[#This Row],[COC Loc.]]="","",SplitString(COCRollupTbl[[#This Row],[COC Loc.]],1,", "))</f>
        <v/>
      </c>
      <c r="O120" t="str">
        <f>IF(COCRollupTbl[[#This Row],[COC Loc.]]="","",SplitString(COCRollupTbl[[#This Row],[COC Loc.]],2,", "))</f>
        <v/>
      </c>
      <c r="T120" t="str">
        <f>IF(COC!K133="","",COC!K133)</f>
        <v/>
      </c>
      <c r="U120" t="str">
        <f>IF(COC!L133="","",COC!L133)</f>
        <v/>
      </c>
      <c r="V120" t="str">
        <f>IF(COC!M133="","",COC!M133)</f>
        <v/>
      </c>
      <c r="X12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2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</sheetData>
  <conditionalFormatting sqref="A1:Z1">
    <cfRule type="expression" dxfId="0" priority="1">
      <formula>OR(CELL(“col”)=COLUMN(),CELL(“row”)=ROW())</formula>
    </cfRule>
  </conditionalFormatting>
  <dataValidations count="1">
    <dataValidation type="list" allowBlank="1" showInputMessage="1" showErrorMessage="1" sqref="W2:W120" xr:uid="{2B84194B-65C4-407E-A1F1-82E47BFA1C36}">
      <formula1>"Chlorine, Chloramine"</formula1>
    </dataValidation>
  </dataValidations>
  <pageMargins left="0.7" right="0.7" top="0.75" bottom="0.75" header="0.3" footer="0.3"/>
  <ignoredErrors>
    <ignoredError sqref="M2" calculatedColumn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FDD5D-A5F1-44D1-A4A4-FB6977C15AFC}">
  <sheetPr codeName="Sheet61"/>
  <dimension ref="A1:N37"/>
  <sheetViews>
    <sheetView tabSelected="1" workbookViewId="0">
      <selection activeCell="D18" sqref="D18"/>
    </sheetView>
  </sheetViews>
  <sheetFormatPr baseColWidth="10" defaultColWidth="8.83203125" defaultRowHeight="15" x14ac:dyDescent="0.2"/>
  <cols>
    <col min="1" max="2" width="21" style="27" customWidth="1"/>
    <col min="3" max="3" width="37.83203125" customWidth="1"/>
    <col min="4" max="4" width="41.1640625" style="27" customWidth="1"/>
    <col min="5" max="5" width="27.6640625" style="27" customWidth="1"/>
    <col min="6" max="6" width="27.5" style="27" customWidth="1"/>
    <col min="7" max="7" width="25.1640625" style="27" customWidth="1"/>
    <col min="8" max="8" width="20.5" style="27" customWidth="1"/>
    <col min="9" max="9" width="15.5" style="27" customWidth="1"/>
    <col min="10" max="10" width="27.1640625" style="27" customWidth="1"/>
    <col min="11" max="11" width="21.5" style="27" customWidth="1"/>
    <col min="12" max="12" width="22.33203125" style="27" customWidth="1"/>
    <col min="13" max="13" width="13.5" style="27" customWidth="1"/>
    <col min="14" max="14" width="15.83203125" style="27" bestFit="1" customWidth="1"/>
    <col min="15" max="16384" width="8.83203125" style="27"/>
  </cols>
  <sheetData>
    <row r="1" spans="1:14" s="32" customFormat="1" x14ac:dyDescent="0.2">
      <c r="A1" s="32" t="s">
        <v>64</v>
      </c>
      <c r="B1" s="32" t="s">
        <v>60</v>
      </c>
      <c r="C1" s="32" t="s">
        <v>43</v>
      </c>
      <c r="D1" s="32" t="s">
        <v>61</v>
      </c>
      <c r="E1" s="32" t="s">
        <v>62</v>
      </c>
      <c r="F1" s="32" t="s">
        <v>63</v>
      </c>
      <c r="G1" s="32" t="s">
        <v>65</v>
      </c>
      <c r="H1" s="32" t="s">
        <v>66</v>
      </c>
      <c r="I1" s="34" t="s">
        <v>67</v>
      </c>
      <c r="J1" s="32" t="s">
        <v>68</v>
      </c>
      <c r="K1" s="32" t="s">
        <v>69</v>
      </c>
      <c r="L1" s="32" t="s">
        <v>70</v>
      </c>
      <c r="M1" s="32" t="s">
        <v>72</v>
      </c>
      <c r="N1" s="32" t="s">
        <v>73</v>
      </c>
    </row>
    <row r="2" spans="1:14" x14ac:dyDescent="0.2">
      <c r="A2" s="28" t="s">
        <v>118</v>
      </c>
      <c r="B2" s="28" t="s">
        <v>42</v>
      </c>
      <c r="C2" s="28" t="s">
        <v>119</v>
      </c>
      <c r="D2" s="48" t="s">
        <v>117</v>
      </c>
      <c r="E2" s="47" t="s">
        <v>117</v>
      </c>
      <c r="F2" s="28" t="s">
        <v>120</v>
      </c>
      <c r="G2" s="28" t="s">
        <v>112</v>
      </c>
      <c r="H2" s="35" t="s">
        <v>98</v>
      </c>
      <c r="I2" s="35" t="s">
        <v>114</v>
      </c>
      <c r="J2" s="35"/>
      <c r="K2" s="28"/>
      <c r="L2" s="28"/>
      <c r="M2" s="28"/>
      <c r="N2" s="49"/>
    </row>
    <row r="3" spans="1:14" x14ac:dyDescent="0.2">
      <c r="A3" s="28"/>
      <c r="B3" s="28"/>
      <c r="C3" s="28"/>
      <c r="D3" s="48"/>
      <c r="E3" s="47"/>
      <c r="F3" s="28"/>
      <c r="G3" s="28"/>
      <c r="H3" s="35"/>
      <c r="I3" s="35"/>
      <c r="J3" s="35"/>
      <c r="K3" s="28"/>
      <c r="L3" s="28"/>
      <c r="M3" s="28"/>
      <c r="N3" s="49"/>
    </row>
    <row r="4" spans="1:14" x14ac:dyDescent="0.2">
      <c r="A4" s="28"/>
      <c r="B4" s="28"/>
      <c r="C4" s="28"/>
      <c r="D4" s="48"/>
      <c r="E4" s="47"/>
      <c r="F4" s="28"/>
      <c r="G4" s="28"/>
      <c r="H4" s="35"/>
      <c r="I4" s="35"/>
      <c r="J4" s="35"/>
      <c r="K4" s="28"/>
      <c r="L4" s="28"/>
      <c r="M4" s="28"/>
      <c r="N4" s="49"/>
    </row>
    <row r="5" spans="1:14" x14ac:dyDescent="0.2">
      <c r="A5" s="28"/>
      <c r="B5" s="28"/>
      <c r="C5" s="28"/>
      <c r="D5" s="48"/>
      <c r="E5" s="47"/>
      <c r="F5" s="28"/>
      <c r="G5" s="28"/>
      <c r="H5" s="35"/>
      <c r="I5" s="35"/>
      <c r="J5" s="35"/>
      <c r="K5" s="28"/>
      <c r="L5" s="28"/>
      <c r="M5" s="28"/>
      <c r="N5" s="49"/>
    </row>
    <row r="6" spans="1:14" x14ac:dyDescent="0.2">
      <c r="A6" s="28"/>
      <c r="B6" s="28"/>
      <c r="C6" s="28"/>
      <c r="D6" s="28"/>
      <c r="E6" s="29"/>
      <c r="F6" s="28"/>
    </row>
    <row r="7" spans="1:14" x14ac:dyDescent="0.2">
      <c r="F7" s="30"/>
    </row>
    <row r="8" spans="1:14" x14ac:dyDescent="0.2">
      <c r="A8" s="32" t="s">
        <v>65</v>
      </c>
      <c r="B8" s="32" t="s">
        <v>66</v>
      </c>
      <c r="C8" s="34" t="s">
        <v>67</v>
      </c>
      <c r="D8" s="32" t="s">
        <v>68</v>
      </c>
      <c r="F8" s="30"/>
    </row>
    <row r="9" spans="1:14" x14ac:dyDescent="0.2">
      <c r="A9" s="27" t="s">
        <v>112</v>
      </c>
      <c r="B9" s="27" t="s">
        <v>98</v>
      </c>
      <c r="C9" t="s">
        <v>114</v>
      </c>
      <c r="D9" s="33" t="s">
        <v>115</v>
      </c>
      <c r="F9" s="30"/>
    </row>
    <row r="10" spans="1:14" x14ac:dyDescent="0.2">
      <c r="A10" s="27" t="s">
        <v>113</v>
      </c>
      <c r="B10" s="27" t="s">
        <v>98</v>
      </c>
      <c r="C10" t="s">
        <v>114</v>
      </c>
      <c r="D10" s="33" t="s">
        <v>116</v>
      </c>
      <c r="F10" s="30"/>
    </row>
    <row r="11" spans="1:14" x14ac:dyDescent="0.2">
      <c r="F11" s="30"/>
    </row>
    <row r="12" spans="1:14" x14ac:dyDescent="0.2">
      <c r="F12" s="31"/>
    </row>
    <row r="13" spans="1:14" x14ac:dyDescent="0.2">
      <c r="F13" s="30"/>
    </row>
    <row r="14" spans="1:14" x14ac:dyDescent="0.2">
      <c r="F14" s="30"/>
    </row>
    <row r="15" spans="1:14" x14ac:dyDescent="0.2">
      <c r="F15" s="30"/>
    </row>
    <row r="16" spans="1:14" x14ac:dyDescent="0.2">
      <c r="F16" s="30"/>
    </row>
    <row r="17" spans="6:6" x14ac:dyDescent="0.2">
      <c r="F17" s="30"/>
    </row>
    <row r="18" spans="6:6" x14ac:dyDescent="0.2">
      <c r="F18" s="30"/>
    </row>
    <row r="19" spans="6:6" x14ac:dyDescent="0.2">
      <c r="F19" s="30"/>
    </row>
    <row r="20" spans="6:6" x14ac:dyDescent="0.2">
      <c r="F20" s="30"/>
    </row>
    <row r="21" spans="6:6" x14ac:dyDescent="0.2">
      <c r="F21" s="30"/>
    </row>
    <row r="22" spans="6:6" x14ac:dyDescent="0.2">
      <c r="F22" s="30"/>
    </row>
    <row r="23" spans="6:6" x14ac:dyDescent="0.2">
      <c r="F23" s="30"/>
    </row>
    <row r="24" spans="6:6" x14ac:dyDescent="0.2">
      <c r="F24" s="30"/>
    </row>
    <row r="25" spans="6:6" x14ac:dyDescent="0.2">
      <c r="F25" s="30"/>
    </row>
    <row r="26" spans="6:6" x14ac:dyDescent="0.2">
      <c r="F26" s="30"/>
    </row>
    <row r="27" spans="6:6" x14ac:dyDescent="0.2">
      <c r="F27" s="30"/>
    </row>
    <row r="28" spans="6:6" x14ac:dyDescent="0.2">
      <c r="F28" s="30"/>
    </row>
    <row r="29" spans="6:6" x14ac:dyDescent="0.2">
      <c r="F29" s="30"/>
    </row>
    <row r="30" spans="6:6" x14ac:dyDescent="0.2">
      <c r="F30" s="30"/>
    </row>
    <row r="31" spans="6:6" x14ac:dyDescent="0.2">
      <c r="F31" s="30"/>
    </row>
    <row r="32" spans="6:6" x14ac:dyDescent="0.2">
      <c r="F32" s="30"/>
    </row>
    <row r="33" spans="6:6" x14ac:dyDescent="0.2">
      <c r="F33" s="30"/>
    </row>
    <row r="34" spans="6:6" x14ac:dyDescent="0.2">
      <c r="F34" s="30"/>
    </row>
    <row r="35" spans="6:6" x14ac:dyDescent="0.2">
      <c r="F35" s="30"/>
    </row>
    <row r="36" spans="6:6" x14ac:dyDescent="0.2">
      <c r="F36" s="30"/>
    </row>
    <row r="37" spans="6:6" x14ac:dyDescent="0.2">
      <c r="F37" s="30"/>
    </row>
  </sheetData>
  <phoneticPr fontId="27" type="noConversion"/>
  <dataValidations count="1">
    <dataValidation type="list" allowBlank="1" showInputMessage="1" showErrorMessage="1" sqref="G2:G5" xr:uid="{950B9A4F-D5C7-4C1C-A75B-0B67BA7CA606}">
      <formula1>INDIRECT("RepDV[Sales Rep]")</formula1>
    </dataValidation>
  </dataValidations>
  <hyperlinks>
    <hyperlink ref="D10" r:id="rId1" xr:uid="{CEC57A8C-6B53-47A6-B4BE-7E9AE0A897CD}"/>
    <hyperlink ref="D9" r:id="rId2" xr:uid="{0AD164DA-5BC7-4B30-860B-BE68BA86F4BE}"/>
  </hyperlinks>
  <pageMargins left="0.7" right="0.7" top="0.75" bottom="0.75" header="0.3" footer="0.3"/>
  <drawing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E793A860F756248A04E95C0B97BF27C" ma:contentTypeVersion="13" ma:contentTypeDescription="Create a new document." ma:contentTypeScope="" ma:versionID="09ad65d74b95b5b5fb4c69a8767432d2">
  <xsd:schema xmlns:xsd="http://www.w3.org/2001/XMLSchema" xmlns:xs="http://www.w3.org/2001/XMLSchema" xmlns:p="http://schemas.microsoft.com/office/2006/metadata/properties" xmlns:ns3="a5bf9629-1343-4852-a0e7-9d641a16b9dd" xmlns:ns4="e8915948-d720-4944-a85d-5ac417f8b415" targetNamespace="http://schemas.microsoft.com/office/2006/metadata/properties" ma:root="true" ma:fieldsID="a4182d01c4d31e3d7c2cbd439074baad" ns3:_="" ns4:_="">
    <xsd:import namespace="a5bf9629-1343-4852-a0e7-9d641a16b9dd"/>
    <xsd:import namespace="e8915948-d720-4944-a85d-5ac417f8b415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OCR" minOccurs="0"/>
                <xsd:element ref="ns4:MediaServiceLocation" minOccurs="0"/>
                <xsd:element ref="ns4:MediaServiceEventHashCode" minOccurs="0"/>
                <xsd:element ref="ns4:MediaServiceGenerationTim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bf9629-1343-4852-a0e7-9d641a16b9d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915948-d720-4944-a85d-5ac417f8b4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AF2CC8C-4988-499F-BAA0-F213F34D64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B4CDD9B-C9C9-4452-8AA6-44D1BE7E6995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a5bf9629-1343-4852-a0e7-9d641a16b9dd"/>
    <ds:schemaRef ds:uri="e8915948-d720-4944-a85d-5ac417f8b415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BA3E6D-4194-41D0-9E35-F89920070FCD}">
  <ds:schemaRefs>
    <ds:schemaRef ds:uri="http://purl.org/dc/elements/1.1/"/>
    <ds:schemaRef ds:uri="http://schemas.microsoft.com/office/2006/metadata/properties"/>
    <ds:schemaRef ds:uri="e8915948-d720-4944-a85d-5ac417f8b41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5bf9629-1343-4852-a0e7-9d641a16b9dd"/>
    <ds:schemaRef ds:uri="http://www.w3.org/XML/1998/namespace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c1eb5112-7946-4c9d-bc57-40040cfe3a91}" enabled="0" method="" siteId="{c1eb5112-7946-4c9d-bc57-40040cfe3a9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COC</vt:lpstr>
      <vt:lpstr>LIMS Data Entry</vt:lpstr>
      <vt:lpstr>RollupWkSht</vt:lpstr>
      <vt:lpstr>DV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Cabral, Kathryn</dc:creator>
  <cp:lastModifiedBy>Microsoft Office User</cp:lastModifiedBy>
  <cp:lastPrinted>2021-06-14T23:22:02Z</cp:lastPrinted>
  <dcterms:created xsi:type="dcterms:W3CDTF">2018-08-25T12:35:27Z</dcterms:created>
  <dcterms:modified xsi:type="dcterms:W3CDTF">2022-04-12T01:18:49Z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0x0101009E793A860F756248A04E95C0B97BF27C</vt:lpwstr>
  </property>
</Properties>
</file>